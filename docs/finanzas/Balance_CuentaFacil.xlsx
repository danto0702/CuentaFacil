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Balance" sheetId="2" state="visible" r:id="rId4"/>
    <sheet name="Gestores" sheetId="3" state="visible" r:id="rId5"/>
    <sheet name="Conclusió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3" authorId="0">
      <text>
        <r>
          <rPr>
            <sz val="10"/>
            <rFont val="Arial"/>
            <family val="2"/>
          </rPr>
          <t xml:space="preserve">Si eres responsable de IVA y el precio es IVA incluido, esta parte va a la DIAN. No resta IVA descontable de tus compras.</t>
        </r>
      </text>
    </comment>
    <comment ref="A39" authorId="0">
      <text>
        <r>
          <rPr>
            <sz val="10"/>
            <rFont val="Arial"/>
            <family val="2"/>
          </rPr>
          <t xml:space="preserve">Supabase + Railway (con recargo) + línea + contador.</t>
        </r>
      </text>
    </comment>
    <comment ref="A40" authorId="0">
      <text>
        <r>
          <rPr>
            <sz val="10"/>
            <rFont val="Arial"/>
            <family val="2"/>
          </rPr>
          <t xml:space="preserve">Cuentas necesarias para cubrir los costos fijos con el margen de contribución de este escenario.</t>
        </r>
      </text>
    </comment>
  </commentList>
</comments>
</file>

<file path=xl/sharedStrings.xml><?xml version="1.0" encoding="utf-8"?>
<sst xmlns="http://schemas.openxmlformats.org/spreadsheetml/2006/main" count="207" uniqueCount="169">
  <si>
    <t xml:space="preserve">CuentaFacil — Supuestos del modelo</t>
  </si>
  <si>
    <t xml:space="preserve">Edita solo las celdas en azul. Las de fondo amarillo son las que más mueven el resultado.</t>
  </si>
  <si>
    <t xml:space="preserve">Ejemplo: cambia "Precio del informe" a 60000 y mira el efecto en la hoja Balance.</t>
  </si>
  <si>
    <t xml:space="preserve">Supuesto</t>
  </si>
  <si>
    <t xml:space="preserve">Valor</t>
  </si>
  <si>
    <t xml:space="preserve">Unidad / fuente</t>
  </si>
  <si>
    <t xml:space="preserve">Precios (COP)</t>
  </si>
  <si>
    <t xml:space="preserve">Precio del informe</t>
  </si>
  <si>
    <t xml:space="preserve">Decisión del dueño (2026-10-10). Por contrato y por cuenta.</t>
  </si>
  <si>
    <t xml:space="preserve">Precio de configuración de contrato</t>
  </si>
  <si>
    <t xml:space="preserve">Decisión del dueño (2026-10-10). Cubre prórrogas y adiciones.</t>
  </si>
  <si>
    <t xml:space="preserve">Precio por mes adicional en cuentas unidas</t>
  </si>
  <si>
    <t xml:space="preserve">Propuesta (no aprobada). Pon 0 si se mantiene "un solo informe".</t>
  </si>
  <si>
    <t xml:space="preserve">% de cuentas que unen 2 meses</t>
  </si>
  <si>
    <t xml:space="preserve">Supuesto. Cada cuenta unida suma 1 mes adicional.</t>
  </si>
  <si>
    <t xml:space="preserve">¿Responsable de IVA? (1 = sí, 0 = no)</t>
  </si>
  <si>
    <t xml:space="preserve">Si es 1, el precio se toma como IVA incluido. Tope: 3.500 UVT de ingresos al año.</t>
  </si>
  <si>
    <t xml:space="preserve">Tarifa de IVA</t>
  </si>
  <si>
    <t xml:space="preserve">Estatuto Tributario, tarifa general.</t>
  </si>
  <si>
    <t xml:space="preserve">Valor UVT 2026</t>
  </si>
  <si>
    <t xml:space="preserve">APROXIMADO — confirmar resolución DIAN de la UVT 2026.</t>
  </si>
  <si>
    <t xml:space="preserve">Volumen</t>
  </si>
  <si>
    <t xml:space="preserve">Contratos por contratista</t>
  </si>
  <si>
    <t xml:space="preserve">Supuesto del plan (PLAN.md §4).</t>
  </si>
  <si>
    <t xml:space="preserve">Cuentas por contrato (duración media)</t>
  </si>
  <si>
    <t xml:space="preserve">Supuesto: 1 contrato nuevo cada 4 cuentas.</t>
  </si>
  <si>
    <t xml:space="preserve">TRM (COP por US$)</t>
  </si>
  <si>
    <t xml:space="preserve">Referencia; actualizar con la TRM del mes.</t>
  </si>
  <si>
    <t xml:space="preserve">WhatsApp (Meta)</t>
  </si>
  <si>
    <t xml:space="preserve">Mensajes salientes por contratista al mes</t>
  </si>
  <si>
    <t xml:space="preserve">Supuesto del plan.</t>
  </si>
  <si>
    <t xml:space="preserve">Mensajes de servicio gratis al mes</t>
  </si>
  <si>
    <t xml:space="preserve">Meta, desde 1-oct-2026 (fuente secundaria: confirmar).</t>
  </si>
  <si>
    <t xml:space="preserve">Precio por mensaje (utilidad/servicio) Colombia</t>
  </si>
  <si>
    <t xml:space="preserve">Fuente secundaria (Plivo/Wati). Confirmar en Administrador de WhatsApp › Precios.</t>
  </si>
  <si>
    <t xml:space="preserve">Plantillas de recordatorio por contratista</t>
  </si>
  <si>
    <t xml:space="preserve">Precio plantilla de bienvenida (marketing)</t>
  </si>
  <si>
    <t xml:space="preserve">Fuente secundaria: confirmar.</t>
  </si>
  <si>
    <t xml:space="preserve">Transcripción de audio</t>
  </si>
  <si>
    <t xml:space="preserve">Minutos de audio por contratista al mes</t>
  </si>
  <si>
    <t xml:space="preserve">Supuesto.</t>
  </si>
  <si>
    <t xml:space="preserve">Precio por minuto</t>
  </si>
  <si>
    <t xml:space="preserve">OpenAI gpt-4o-transcribe.</t>
  </si>
  <si>
    <t xml:space="preserve">Inteligencia artificial (Claude)</t>
  </si>
  <si>
    <t xml:space="preserve">IA por contratista (notas, fotos, intención — Haiku 5.5)</t>
  </si>
  <si>
    <t xml:space="preserve">40 notas × US$0,0005 + 100 mensajes × US$0,0003. Precios Claude 2026-10-06.</t>
  </si>
  <si>
    <t xml:space="preserve">IA por cuenta (soportes, redacción, control de calidad, correcciones — Sonnet 5.5)</t>
  </si>
  <si>
    <t xml:space="preserve">0,10 + 0,25 + 0,04 + 0,015.</t>
  </si>
  <si>
    <t xml:space="preserve">IA por configuración de contrato</t>
  </si>
  <si>
    <t xml:space="preserve">Contrato + clausulado + informe anterior.</t>
  </si>
  <si>
    <t xml:space="preserve">Margen IA (reintentos, mensajes largos)</t>
  </si>
  <si>
    <t xml:space="preserve">Infraestructura (US$ al mes)</t>
  </si>
  <si>
    <t xml:space="preserve">Supabase Pro</t>
  </si>
  <si>
    <t xml:space="preserve">supabase.com/pricing.</t>
  </si>
  <si>
    <t xml:space="preserve">Supabase: cómputo/almacenamiento extra sobre el umbral</t>
  </si>
  <si>
    <t xml:space="preserve">Umbral de cuentas para Supabase extra</t>
  </si>
  <si>
    <t xml:space="preserve">Railway (bajo volumen)</t>
  </si>
  <si>
    <t xml:space="preserve">Por uso; worker + panel.</t>
  </si>
  <si>
    <t xml:space="preserve">Railway (alto volumen)</t>
  </si>
  <si>
    <t xml:space="preserve">Por uso.</t>
  </si>
  <si>
    <t xml:space="preserve">Umbral de cuentas para Railway alto</t>
  </si>
  <si>
    <t xml:space="preserve">Recargo por pagar en dólares (comisión tarjeta + IVA servicios digitales)</t>
  </si>
  <si>
    <t xml:space="preserve">Estimado; depende del banco y del proveedor.</t>
  </si>
  <si>
    <t xml:space="preserve">Cobro y bancos</t>
  </si>
  <si>
    <t xml:space="preserve">Comisión Wompi (%)</t>
  </si>
  <si>
    <t xml:space="preserve">wompi.com/es/co/planes-tarifas (plan agregador).</t>
  </si>
  <si>
    <t xml:space="preserve">Comisión Wompi (fija por transacción)</t>
  </si>
  <si>
    <t xml:space="preserve">Ídem.</t>
  </si>
  <si>
    <t xml:space="preserve">IVA sobre la comisión</t>
  </si>
  <si>
    <t xml:space="preserve">% de pagos por Wompi (el resto en efectivo con código)</t>
  </si>
  <si>
    <t xml:space="preserve">GMF (4×1.000)</t>
  </si>
  <si>
    <t xml:space="preserve">Sobre los ingresos.</t>
  </si>
  <si>
    <t xml:space="preserve">Operación</t>
  </si>
  <si>
    <t xml:space="preserve">Línea celular, dominio y correo (COP/mes)</t>
  </si>
  <si>
    <t xml:space="preserve">Estimado.</t>
  </si>
  <si>
    <t xml:space="preserve">Contador y facturación (bajo volumen)</t>
  </si>
  <si>
    <t xml:space="preserve">Contador y facturación (desde el umbral)</t>
  </si>
  <si>
    <t xml:space="preserve">Estimado: contador $300.000 + facturación electrónica $40.000.</t>
  </si>
  <si>
    <t xml:space="preserve">Umbral de cuentas para contador completo</t>
  </si>
  <si>
    <t xml:space="preserve">Por encima de este número.</t>
  </si>
  <si>
    <t xml:space="preserve">Minutos de tu tiempo por cuenta</t>
  </si>
  <si>
    <t xml:space="preserve">Atención humana (~15 % × 45 min), revisión de configuraciones, códigos.</t>
  </si>
  <si>
    <t xml:space="preserve">Valor de tu hora (COP)</t>
  </si>
  <si>
    <t xml:space="preserve">Supuesto; ajústalo a lo que vale tu hora.</t>
  </si>
  <si>
    <t xml:space="preserve">Contingencias (reprocesos, devoluciones)</t>
  </si>
  <si>
    <t xml:space="preserve">Impuestos: renta + ICA (provisión)</t>
  </si>
  <si>
    <t xml:space="preserve">Estimado: CONFIRMAR CON CONTADOR (RST vs. ordinario, ICA Ábrego).</t>
  </si>
  <si>
    <t xml:space="preserve">Gestores (escenario: una persona hace las cuentas de varios contratistas)</t>
  </si>
  <si>
    <t xml:space="preserve">Precio por cuenta para gestores</t>
  </si>
  <si>
    <t xml:space="preserve">Propuesta del dueño (2026-10-15). Precio preferencial por persona y por cuenta.</t>
  </si>
  <si>
    <t xml:space="preserve">Mínimo de personas activas por gestor para el precio</t>
  </si>
  <si>
    <t xml:space="preserve">Propuesta para evitar falsos gestores (amigos que se agrupan para pagar menos). No entra en los cálculos.</t>
  </si>
  <si>
    <t xml:space="preserve">Personas promedio por gestor</t>
  </si>
  <si>
    <t xml:space="preserve">Supuesto. Define cuántos pagos agrupados hay al mes (un pago por gestor).</t>
  </si>
  <si>
    <t xml:space="preserve">Cuentas de gestores al mes, como % de las cuentas de la hoja Balance</t>
  </si>
  <si>
    <t xml:space="preserve">Supuesto. 50 % = por cada 100 cuentas directas, los gestores manejan 50.</t>
  </si>
  <si>
    <t xml:space="preserve">% de las cuentas de gestores que ya eran clientes a precio de lista</t>
  </si>
  <si>
    <t xml:space="preserve">Supuesto: canibalización. El resto son contratistas nuevos que llegan por el gestor.</t>
  </si>
  <si>
    <t xml:space="preserve">Minutos de tu tiempo por cuenta de gestor</t>
  </si>
  <si>
    <t xml:space="preserve">Supuesto: el gestor ya sabe usar a Pascal y responde por varias personas.</t>
  </si>
  <si>
    <t xml:space="preserve">CuentaFacil — Balance mensual por volumen (COP)</t>
  </si>
  <si>
    <t xml:space="preserve">Cambia el número de cuentas en la fila 4 (azul). Todo lo demás se calcula desde la hoja Supuestos.</t>
  </si>
  <si>
    <t xml:space="preserve">Cuentas al mes</t>
  </si>
  <si>
    <t xml:space="preserve">Contratistas (aprox.)</t>
  </si>
  <si>
    <t xml:space="preserve">Contratos nuevos (configuraciones)</t>
  </si>
  <si>
    <t xml:space="preserve">Ingresos (precio de lista)</t>
  </si>
  <si>
    <t xml:space="preserve">Informes</t>
  </si>
  <si>
    <t xml:space="preserve">Configuraciones</t>
  </si>
  <si>
    <t xml:space="preserve">Meses adicionales (cuentas unidas)</t>
  </si>
  <si>
    <t xml:space="preserve">Total ingresos</t>
  </si>
  <si>
    <t xml:space="preserve">IVA incluido en el precio (si eres responsable)</t>
  </si>
  <si>
    <t xml:space="preserve">Ingresos netos de IVA</t>
  </si>
  <si>
    <t xml:space="preserve">Tecnología</t>
  </si>
  <si>
    <t xml:space="preserve">IA (Claude)</t>
  </si>
  <si>
    <t xml:space="preserve">Transcripción de audios</t>
  </si>
  <si>
    <t xml:space="preserve">Supabase</t>
  </si>
  <si>
    <t xml:space="preserve">Railway</t>
  </si>
  <si>
    <t xml:space="preserve">Recargo por pagos en dólares</t>
  </si>
  <si>
    <t xml:space="preserve">Comisión Wompi</t>
  </si>
  <si>
    <t xml:space="preserve">Línea, dominio y correo</t>
  </si>
  <si>
    <t xml:space="preserve">Contador y facturación electrónica</t>
  </si>
  <si>
    <t xml:space="preserve">Tu tiempo</t>
  </si>
  <si>
    <t xml:space="preserve">Contingencias</t>
  </si>
  <si>
    <t xml:space="preserve">Total costos</t>
  </si>
  <si>
    <t xml:space="preserve">Resultado</t>
  </si>
  <si>
    <t xml:space="preserve">Utilidad neta</t>
  </si>
  <si>
    <t xml:space="preserve">Margen neto</t>
  </si>
  <si>
    <t xml:space="preserve">Costo total por cuenta</t>
  </si>
  <si>
    <t xml:space="preserve">Costo por cuenta sin tu tiempo ni impuestos</t>
  </si>
  <si>
    <t xml:space="preserve">Utilidad por cuenta</t>
  </si>
  <si>
    <t xml:space="preserve">Horas tuyas al mes</t>
  </si>
  <si>
    <t xml:space="preserve">Costos fijos del mes</t>
  </si>
  <si>
    <t xml:space="preserve">Punto de equilibrio (cuentas al mes)</t>
  </si>
  <si>
    <t xml:space="preserve">Ingresos al año</t>
  </si>
  <si>
    <t xml:space="preserve">Tope para ser responsable de IVA (3.500 UVT)</t>
  </si>
  <si>
    <t xml:space="preserve">¿Supera el tope de IVA?</t>
  </si>
  <si>
    <t xml:space="preserve">CuentaFacil — Escenario de gestores (COP al mes)</t>
  </si>
  <si>
    <t xml:space="preserve">Las cuentas directas vienen de la fila 4 de Balance; los supuestos de gestores, de Supuestos (filas 57-62).</t>
  </si>
  <si>
    <t xml:space="preserve">Cuentas directas sin gestores (de Balance)</t>
  </si>
  <si>
    <t xml:space="preserve">Cuentas de gestores</t>
  </si>
  <si>
    <t xml:space="preserve">… que ya eran clientes directos (migran)</t>
  </si>
  <si>
    <t xml:space="preserve">… contratistas nuevos que trae el gestor</t>
  </si>
  <si>
    <t xml:space="preserve">Cuentas directas que quedan a precio de lista</t>
  </si>
  <si>
    <t xml:space="preserve">Total de cuentas al mes</t>
  </si>
  <si>
    <t xml:space="preserve">Gestores activos (aprox.)</t>
  </si>
  <si>
    <t xml:space="preserve">Ingresos</t>
  </si>
  <si>
    <t xml:space="preserve">Informes directos (precio de lista)</t>
  </si>
  <si>
    <t xml:space="preserve">Informes de gestores (precio preferencial)</t>
  </si>
  <si>
    <t xml:space="preserve">Costos</t>
  </si>
  <si>
    <t xml:space="preserve">Comisión Wompi (un pago agrupado por gestor)</t>
  </si>
  <si>
    <t xml:space="preserve">Utilidad neta con gestores</t>
  </si>
  <si>
    <t xml:space="preserve">Utilidad neta sin gestores (de Balance)</t>
  </si>
  <si>
    <t xml:space="preserve">Diferencia: lo que suman los gestores</t>
  </si>
  <si>
    <t xml:space="preserve">Margen neto con gestores</t>
  </si>
  <si>
    <t xml:space="preserve">¿Supera el tope de IVA (3.500 UVT)?</t>
  </si>
  <si>
    <t xml:space="preserve">Por cuenta (lo que deja cada cuenta, sin costos fijos)</t>
  </si>
  <si>
    <t xml:space="preserve">Margen de una cuenta directa ($50.000)</t>
  </si>
  <si>
    <t xml:space="preserve">Margen de una cuenta de gestor</t>
  </si>
  <si>
    <t xml:space="preserve">Lo que se pierde por cada cliente que migra a gestor</t>
  </si>
  <si>
    <t xml:space="preserve">Cuentas nuevas de gestor necesarias por cada cliente que migra</t>
  </si>
  <si>
    <t xml:space="preserve">Canibalización máxima para no perder dinero</t>
  </si>
  <si>
    <t xml:space="preserve">Conclusión (con los supuestos por defecto)</t>
  </si>
  <si>
    <t xml:space="preserve">1. Los precios son convenientes: el informe de $50.000 deja un margen neto alto aun pagando tu tiempo e impuestos estimados, y el punto de equilibrio es bajo (ver fila "Punto de equilibrio" en Balance).</t>
  </si>
  <si>
    <t xml:space="preserve">2. Para el contratista es barato: ≈1,25 % de unos honorarios de $4.000.000 y ≈2,5 % de $2.000.000, y le ahorra horas de trabajo.</t>
  </si>
  <si>
    <t xml:space="preserve">3. Configuración a $15.000: ya no es solo un filtro; cubre su comisión de Wompi, la IA y unos minutos de revisión.</t>
  </si>
  <si>
    <t xml:space="preserve">4. IVA: hacia ~290 cuentas al mes los ingresos anuales superan 3.500 UVT. Recomendación: publicar los precios como "IVA incluido" desde el inicio. Prueba poniendo 1 en "¿Responsable de IVA?" para ver el impacto.</t>
  </si>
  <si>
    <t xml:space="preserve">5. Cuentas unidas: si se cobran como un solo informe, cada mes unido reduce el ingreso por mes trabajado. Prueba subir "% de cuentas que unen 2 meses" con y sin precio por mes adicional.</t>
  </si>
  <si>
    <t xml:space="preserve">6. Tu tiempo es el límite real: revisa la fila "Horas tuyas al mes". Por encima de ~250 cuentas conviene contratar apoyo.</t>
  </si>
  <si>
    <t xml:space="preserve">7. Supuestos a confirmar: tarifa WhatsApp Colombia, UVT 2026, provisión de impuestos (contador), TRM del mes.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</si>
</sst>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.0%;\(0.0%\);\-"/>
    <numFmt numFmtId="167" formatCode="0"/>
    <numFmt numFmtId="168" formatCode="#,##0.00"/>
    <numFmt numFmtId="169" formatCode="#,##0"/>
    <numFmt numFmtId="170" formatCode="&quot;US$&quot;#,##0.0000;&quot;(US$&quot;#,##0.0000\);\-"/>
    <numFmt numFmtId="171" formatCode="&quot;US$&quot;#,##0"/>
    <numFmt numFmtId="172" formatCode="0.00%"/>
    <numFmt numFmtId="173" formatCode="0.0%"/>
    <numFmt numFmtId="174" formatCode="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1"/>
      <color rgb="FF008000"/>
      <name val="Arial"/>
      <family val="0"/>
      <charset val="1"/>
    </font>
    <font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FFF3C4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FFF3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4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6"/>
    <col collapsed="false" customWidth="true" hidden="false" outlineLevel="0" max="3" min="3" style="1" width="8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</row>
    <row r="6" customFormat="false" ht="15" hidden="false" customHeight="true" outlineLevel="0" collapsed="false">
      <c r="A6" s="6" t="s">
        <v>6</v>
      </c>
      <c r="B6" s="7"/>
      <c r="C6" s="7"/>
    </row>
    <row r="7" customFormat="false" ht="15" hidden="false" customHeight="true" outlineLevel="0" collapsed="false">
      <c r="A7" s="8" t="s">
        <v>7</v>
      </c>
      <c r="B7" s="9" t="n">
        <v>50000</v>
      </c>
      <c r="C7" s="10" t="s">
        <v>8</v>
      </c>
    </row>
    <row r="8" customFormat="false" ht="15" hidden="false" customHeight="true" outlineLevel="0" collapsed="false">
      <c r="A8" s="8" t="s">
        <v>9</v>
      </c>
      <c r="B8" s="9" t="n">
        <v>15000</v>
      </c>
      <c r="C8" s="10" t="s">
        <v>10</v>
      </c>
    </row>
    <row r="9" customFormat="false" ht="15" hidden="false" customHeight="true" outlineLevel="0" collapsed="false">
      <c r="A9" s="8" t="s">
        <v>11</v>
      </c>
      <c r="B9" s="9" t="n">
        <v>25000</v>
      </c>
      <c r="C9" s="10" t="s">
        <v>12</v>
      </c>
    </row>
    <row r="10" customFormat="false" ht="15" hidden="false" customHeight="true" outlineLevel="0" collapsed="false">
      <c r="A10" s="8" t="s">
        <v>13</v>
      </c>
      <c r="B10" s="11" t="n">
        <v>0</v>
      </c>
      <c r="C10" s="10" t="s">
        <v>14</v>
      </c>
    </row>
    <row r="11" customFormat="false" ht="15" hidden="false" customHeight="true" outlineLevel="0" collapsed="false">
      <c r="A11" s="8" t="s">
        <v>15</v>
      </c>
      <c r="B11" s="12" t="n">
        <v>0</v>
      </c>
      <c r="C11" s="10" t="s">
        <v>16</v>
      </c>
    </row>
    <row r="12" customFormat="false" ht="15" hidden="false" customHeight="true" outlineLevel="0" collapsed="false">
      <c r="A12" s="8" t="s">
        <v>17</v>
      </c>
      <c r="B12" s="11" t="n">
        <v>0.19</v>
      </c>
      <c r="C12" s="10" t="s">
        <v>18</v>
      </c>
    </row>
    <row r="13" customFormat="false" ht="15" hidden="false" customHeight="true" outlineLevel="0" collapsed="false">
      <c r="A13" s="8" t="s">
        <v>19</v>
      </c>
      <c r="B13" s="13" t="n">
        <v>52000</v>
      </c>
      <c r="C13" s="10" t="s">
        <v>20</v>
      </c>
    </row>
    <row r="14" customFormat="false" ht="15" hidden="false" customHeight="true" outlineLevel="0" collapsed="false">
      <c r="A14" s="6" t="s">
        <v>21</v>
      </c>
      <c r="B14" s="7"/>
      <c r="C14" s="7"/>
    </row>
    <row r="15" customFormat="false" ht="15" hidden="false" customHeight="true" outlineLevel="0" collapsed="false">
      <c r="A15" s="8" t="s">
        <v>22</v>
      </c>
      <c r="B15" s="14" t="n">
        <v>1.43</v>
      </c>
      <c r="C15" s="10" t="s">
        <v>23</v>
      </c>
    </row>
    <row r="16" customFormat="false" ht="15" hidden="false" customHeight="true" outlineLevel="0" collapsed="false">
      <c r="A16" s="8" t="s">
        <v>24</v>
      </c>
      <c r="B16" s="14" t="n">
        <v>4</v>
      </c>
      <c r="C16" s="10" t="s">
        <v>25</v>
      </c>
    </row>
    <row r="17" customFormat="false" ht="15" hidden="false" customHeight="true" outlineLevel="0" collapsed="false">
      <c r="A17" s="8" t="s">
        <v>26</v>
      </c>
      <c r="B17" s="9" t="n">
        <v>4000</v>
      </c>
      <c r="C17" s="10" t="s">
        <v>27</v>
      </c>
    </row>
    <row r="18" customFormat="false" ht="15" hidden="false" customHeight="true" outlineLevel="0" collapsed="false">
      <c r="A18" s="6" t="s">
        <v>28</v>
      </c>
      <c r="B18" s="7"/>
      <c r="C18" s="7"/>
    </row>
    <row r="19" customFormat="false" ht="15" hidden="false" customHeight="true" outlineLevel="0" collapsed="false">
      <c r="A19" s="8" t="s">
        <v>29</v>
      </c>
      <c r="B19" s="15" t="n">
        <v>200</v>
      </c>
      <c r="C19" s="10" t="s">
        <v>30</v>
      </c>
    </row>
    <row r="20" customFormat="false" ht="15" hidden="false" customHeight="true" outlineLevel="0" collapsed="false">
      <c r="A20" s="8" t="s">
        <v>31</v>
      </c>
      <c r="B20" s="15" t="n">
        <v>1000</v>
      </c>
      <c r="C20" s="10" t="s">
        <v>32</v>
      </c>
    </row>
    <row r="21" customFormat="false" ht="15" hidden="false" customHeight="true" outlineLevel="0" collapsed="false">
      <c r="A21" s="8" t="s">
        <v>33</v>
      </c>
      <c r="B21" s="16" t="n">
        <v>0.0008</v>
      </c>
      <c r="C21" s="10" t="s">
        <v>34</v>
      </c>
    </row>
    <row r="22" customFormat="false" ht="15" hidden="false" customHeight="true" outlineLevel="0" collapsed="false">
      <c r="A22" s="8" t="s">
        <v>35</v>
      </c>
      <c r="B22" s="15" t="n">
        <v>8</v>
      </c>
      <c r="C22" s="10" t="s">
        <v>30</v>
      </c>
    </row>
    <row r="23" customFormat="false" ht="15" hidden="false" customHeight="true" outlineLevel="0" collapsed="false">
      <c r="A23" s="8" t="s">
        <v>36</v>
      </c>
      <c r="B23" s="16" t="n">
        <v>0.0125</v>
      </c>
      <c r="C23" s="10" t="s">
        <v>37</v>
      </c>
    </row>
    <row r="24" customFormat="false" ht="15" hidden="false" customHeight="true" outlineLevel="0" collapsed="false">
      <c r="A24" s="6" t="s">
        <v>38</v>
      </c>
      <c r="B24" s="7"/>
      <c r="C24" s="7"/>
    </row>
    <row r="25" customFormat="false" ht="15" hidden="false" customHeight="true" outlineLevel="0" collapsed="false">
      <c r="A25" s="8" t="s">
        <v>39</v>
      </c>
      <c r="B25" s="15" t="n">
        <v>15</v>
      </c>
      <c r="C25" s="10" t="s">
        <v>40</v>
      </c>
    </row>
    <row r="26" customFormat="false" ht="15" hidden="false" customHeight="true" outlineLevel="0" collapsed="false">
      <c r="A26" s="8" t="s">
        <v>41</v>
      </c>
      <c r="B26" s="16" t="n">
        <v>0.006</v>
      </c>
      <c r="C26" s="10" t="s">
        <v>42</v>
      </c>
    </row>
    <row r="27" customFormat="false" ht="15" hidden="false" customHeight="true" outlineLevel="0" collapsed="false">
      <c r="A27" s="6" t="s">
        <v>43</v>
      </c>
      <c r="B27" s="7"/>
      <c r="C27" s="7"/>
    </row>
    <row r="28" customFormat="false" ht="15" hidden="false" customHeight="true" outlineLevel="0" collapsed="false">
      <c r="A28" s="8" t="s">
        <v>44</v>
      </c>
      <c r="B28" s="16" t="n">
        <v>0.05</v>
      </c>
      <c r="C28" s="10" t="s">
        <v>45</v>
      </c>
    </row>
    <row r="29" customFormat="false" ht="15" hidden="false" customHeight="true" outlineLevel="0" collapsed="false">
      <c r="A29" s="8" t="s">
        <v>46</v>
      </c>
      <c r="B29" s="16" t="n">
        <v>0.405</v>
      </c>
      <c r="C29" s="10" t="s">
        <v>47</v>
      </c>
    </row>
    <row r="30" customFormat="false" ht="15" hidden="false" customHeight="true" outlineLevel="0" collapsed="false">
      <c r="A30" s="8" t="s">
        <v>48</v>
      </c>
      <c r="B30" s="16" t="n">
        <v>0.14</v>
      </c>
      <c r="C30" s="10" t="s">
        <v>49</v>
      </c>
    </row>
    <row r="31" customFormat="false" ht="15" hidden="false" customHeight="true" outlineLevel="0" collapsed="false">
      <c r="A31" s="8" t="s">
        <v>50</v>
      </c>
      <c r="B31" s="11" t="n">
        <v>0.3</v>
      </c>
      <c r="C31" s="10" t="s">
        <v>40</v>
      </c>
    </row>
    <row r="32" customFormat="false" ht="15" hidden="false" customHeight="true" outlineLevel="0" collapsed="false">
      <c r="A32" s="6" t="s">
        <v>51</v>
      </c>
      <c r="B32" s="7"/>
      <c r="C32" s="7"/>
    </row>
    <row r="33" customFormat="false" ht="15" hidden="false" customHeight="true" outlineLevel="0" collapsed="false">
      <c r="A33" s="8" t="s">
        <v>52</v>
      </c>
      <c r="B33" s="17" t="n">
        <v>25</v>
      </c>
      <c r="C33" s="10" t="s">
        <v>53</v>
      </c>
    </row>
    <row r="34" customFormat="false" ht="15" hidden="false" customHeight="true" outlineLevel="0" collapsed="false">
      <c r="A34" s="8" t="s">
        <v>54</v>
      </c>
      <c r="B34" s="17" t="n">
        <v>10</v>
      </c>
      <c r="C34" s="10" t="s">
        <v>40</v>
      </c>
    </row>
    <row r="35" customFormat="false" ht="15" hidden="false" customHeight="true" outlineLevel="0" collapsed="false">
      <c r="A35" s="8" t="s">
        <v>55</v>
      </c>
      <c r="B35" s="15" t="n">
        <v>200</v>
      </c>
      <c r="C35" s="10" t="s">
        <v>40</v>
      </c>
    </row>
    <row r="36" customFormat="false" ht="15" hidden="false" customHeight="true" outlineLevel="0" collapsed="false">
      <c r="A36" s="8" t="s">
        <v>56</v>
      </c>
      <c r="B36" s="17" t="n">
        <v>20</v>
      </c>
      <c r="C36" s="10" t="s">
        <v>57</v>
      </c>
    </row>
    <row r="37" customFormat="false" ht="15" hidden="false" customHeight="true" outlineLevel="0" collapsed="false">
      <c r="A37" s="8" t="s">
        <v>58</v>
      </c>
      <c r="B37" s="17" t="n">
        <v>30</v>
      </c>
      <c r="C37" s="10" t="s">
        <v>59</v>
      </c>
    </row>
    <row r="38" customFormat="false" ht="15" hidden="false" customHeight="true" outlineLevel="0" collapsed="false">
      <c r="A38" s="8" t="s">
        <v>60</v>
      </c>
      <c r="B38" s="15" t="n">
        <v>100</v>
      </c>
      <c r="C38" s="10" t="s">
        <v>40</v>
      </c>
    </row>
    <row r="39" customFormat="false" ht="15" hidden="false" customHeight="true" outlineLevel="0" collapsed="false">
      <c r="A39" s="8" t="s">
        <v>61</v>
      </c>
      <c r="B39" s="11" t="n">
        <v>0.15</v>
      </c>
      <c r="C39" s="10" t="s">
        <v>62</v>
      </c>
    </row>
    <row r="40" customFormat="false" ht="15" hidden="false" customHeight="true" outlineLevel="0" collapsed="false">
      <c r="A40" s="6" t="s">
        <v>63</v>
      </c>
      <c r="B40" s="7"/>
      <c r="C40" s="7"/>
    </row>
    <row r="41" customFormat="false" ht="15" hidden="false" customHeight="true" outlineLevel="0" collapsed="false">
      <c r="A41" s="8" t="s">
        <v>64</v>
      </c>
      <c r="B41" s="18" t="n">
        <v>0.0265</v>
      </c>
      <c r="C41" s="10" t="s">
        <v>65</v>
      </c>
    </row>
    <row r="42" customFormat="false" ht="15" hidden="false" customHeight="true" outlineLevel="0" collapsed="false">
      <c r="A42" s="8" t="s">
        <v>66</v>
      </c>
      <c r="B42" s="13" t="n">
        <v>700</v>
      </c>
      <c r="C42" s="10" t="s">
        <v>67</v>
      </c>
    </row>
    <row r="43" customFormat="false" ht="15" hidden="false" customHeight="true" outlineLevel="0" collapsed="false">
      <c r="A43" s="8" t="s">
        <v>68</v>
      </c>
      <c r="B43" s="11" t="n">
        <v>0.19</v>
      </c>
      <c r="C43" s="10"/>
    </row>
    <row r="44" customFormat="false" ht="15" hidden="false" customHeight="true" outlineLevel="0" collapsed="false">
      <c r="A44" s="8" t="s">
        <v>69</v>
      </c>
      <c r="B44" s="19" t="n">
        <v>0.8</v>
      </c>
      <c r="C44" s="10" t="s">
        <v>40</v>
      </c>
    </row>
    <row r="45" customFormat="false" ht="15" hidden="false" customHeight="true" outlineLevel="0" collapsed="false">
      <c r="A45" s="8" t="s">
        <v>70</v>
      </c>
      <c r="B45" s="20" t="n">
        <v>0.004</v>
      </c>
      <c r="C45" s="10" t="s">
        <v>71</v>
      </c>
    </row>
    <row r="46" customFormat="false" ht="15" hidden="false" customHeight="true" outlineLevel="0" collapsed="false">
      <c r="A46" s="6" t="s">
        <v>72</v>
      </c>
      <c r="B46" s="7"/>
      <c r="C46" s="7"/>
    </row>
    <row r="47" customFormat="false" ht="15" hidden="false" customHeight="true" outlineLevel="0" collapsed="false">
      <c r="A47" s="8" t="s">
        <v>73</v>
      </c>
      <c r="B47" s="13" t="n">
        <v>65000</v>
      </c>
      <c r="C47" s="10" t="s">
        <v>74</v>
      </c>
    </row>
    <row r="48" customFormat="false" ht="15" hidden="false" customHeight="true" outlineLevel="0" collapsed="false">
      <c r="A48" s="8" t="s">
        <v>75</v>
      </c>
      <c r="B48" s="13" t="n">
        <v>150000</v>
      </c>
      <c r="C48" s="10" t="s">
        <v>74</v>
      </c>
    </row>
    <row r="49" customFormat="false" ht="15" hidden="false" customHeight="true" outlineLevel="0" collapsed="false">
      <c r="A49" s="8" t="s">
        <v>76</v>
      </c>
      <c r="B49" s="13" t="n">
        <v>340000</v>
      </c>
      <c r="C49" s="10" t="s">
        <v>77</v>
      </c>
    </row>
    <row r="50" customFormat="false" ht="15" hidden="false" customHeight="true" outlineLevel="0" collapsed="false">
      <c r="A50" s="8" t="s">
        <v>78</v>
      </c>
      <c r="B50" s="15" t="n">
        <v>50</v>
      </c>
      <c r="C50" s="10" t="s">
        <v>79</v>
      </c>
    </row>
    <row r="51" customFormat="false" ht="15" hidden="false" customHeight="true" outlineLevel="0" collapsed="false">
      <c r="A51" s="8" t="s">
        <v>80</v>
      </c>
      <c r="B51" s="21" t="n">
        <v>12</v>
      </c>
      <c r="C51" s="10" t="s">
        <v>81</v>
      </c>
    </row>
    <row r="52" customFormat="false" ht="15" hidden="false" customHeight="true" outlineLevel="0" collapsed="false">
      <c r="A52" s="8" t="s">
        <v>82</v>
      </c>
      <c r="B52" s="9" t="n">
        <v>30000</v>
      </c>
      <c r="C52" s="10" t="s">
        <v>83</v>
      </c>
    </row>
    <row r="53" customFormat="false" ht="15" hidden="false" customHeight="true" outlineLevel="0" collapsed="false">
      <c r="A53" s="8" t="s">
        <v>84</v>
      </c>
      <c r="B53" s="11" t="n">
        <v>0.03</v>
      </c>
      <c r="C53" s="10" t="s">
        <v>71</v>
      </c>
    </row>
    <row r="54" customFormat="false" ht="15" hidden="false" customHeight="true" outlineLevel="0" collapsed="false">
      <c r="A54" s="8" t="s">
        <v>85</v>
      </c>
      <c r="B54" s="19" t="n">
        <v>0.07</v>
      </c>
      <c r="C54" s="10" t="s">
        <v>86</v>
      </c>
    </row>
    <row r="56" customFormat="false" ht="15" hidden="false" customHeight="true" outlineLevel="0" collapsed="false">
      <c r="A56" s="6" t="s">
        <v>87</v>
      </c>
      <c r="B56" s="7"/>
      <c r="C56" s="7"/>
    </row>
    <row r="57" customFormat="false" ht="15" hidden="false" customHeight="true" outlineLevel="0" collapsed="false">
      <c r="A57" s="8" t="s">
        <v>88</v>
      </c>
      <c r="B57" s="9" t="n">
        <v>30000</v>
      </c>
      <c r="C57" s="10" t="s">
        <v>89</v>
      </c>
    </row>
    <row r="58" customFormat="false" ht="15" hidden="false" customHeight="true" outlineLevel="0" collapsed="false">
      <c r="A58" s="8" t="s">
        <v>90</v>
      </c>
      <c r="B58" s="15" t="n">
        <v>5</v>
      </c>
      <c r="C58" s="10" t="s">
        <v>91</v>
      </c>
    </row>
    <row r="59" customFormat="false" ht="15" hidden="false" customHeight="true" outlineLevel="0" collapsed="false">
      <c r="A59" s="8" t="s">
        <v>92</v>
      </c>
      <c r="B59" s="15" t="n">
        <v>8</v>
      </c>
      <c r="C59" s="10" t="s">
        <v>93</v>
      </c>
    </row>
    <row r="60" customFormat="false" ht="15" hidden="false" customHeight="true" outlineLevel="0" collapsed="false">
      <c r="A60" s="8" t="s">
        <v>94</v>
      </c>
      <c r="B60" s="19" t="n">
        <v>0.5</v>
      </c>
      <c r="C60" s="10" t="s">
        <v>95</v>
      </c>
    </row>
    <row r="61" customFormat="false" ht="15" hidden="false" customHeight="true" outlineLevel="0" collapsed="false">
      <c r="A61" s="8" t="s">
        <v>96</v>
      </c>
      <c r="B61" s="19" t="n">
        <v>0.25</v>
      </c>
      <c r="C61" s="10" t="s">
        <v>97</v>
      </c>
    </row>
    <row r="62" customFormat="false" ht="15" hidden="false" customHeight="true" outlineLevel="0" collapsed="false">
      <c r="A62" s="8" t="s">
        <v>98</v>
      </c>
      <c r="B62" s="15" t="n">
        <v>6</v>
      </c>
      <c r="C62" s="1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5" min="2" style="1" width="18"/>
  </cols>
  <sheetData>
    <row r="1" customFormat="false" ht="17.25" hidden="false" customHeight="true" outlineLevel="0" collapsed="false">
      <c r="A1" s="2" t="s">
        <v>100</v>
      </c>
    </row>
    <row r="2" customFormat="false" ht="15" hidden="false" customHeight="true" outlineLevel="0" collapsed="false">
      <c r="A2" s="3" t="s">
        <v>101</v>
      </c>
    </row>
    <row r="4" customFormat="false" ht="15" hidden="false" customHeight="true" outlineLevel="0" collapsed="false">
      <c r="A4" s="22" t="s">
        <v>102</v>
      </c>
      <c r="B4" s="23" t="n">
        <v>50</v>
      </c>
      <c r="C4" s="23" t="n">
        <v>100</v>
      </c>
      <c r="D4" s="23" t="n">
        <v>200</v>
      </c>
      <c r="E4" s="23" t="n">
        <v>300</v>
      </c>
    </row>
    <row r="5" customFormat="false" ht="15" hidden="false" customHeight="true" outlineLevel="0" collapsed="false">
      <c r="A5" s="5" t="s">
        <v>21</v>
      </c>
      <c r="B5" s="24"/>
      <c r="C5" s="24"/>
      <c r="D5" s="24"/>
      <c r="E5" s="24"/>
    </row>
    <row r="6" customFormat="false" ht="15" hidden="false" customHeight="true" outlineLevel="0" collapsed="false">
      <c r="A6" s="25" t="s">
        <v>103</v>
      </c>
      <c r="B6" s="26" t="n">
        <f aca="false">ROUND(B4/Supuestos!$B$15,0)</f>
        <v>35</v>
      </c>
      <c r="C6" s="26" t="n">
        <f aca="false">ROUND(C4/Supuestos!$B$15,0)</f>
        <v>70</v>
      </c>
      <c r="D6" s="26" t="n">
        <f aca="false">ROUND(D4/Supuestos!$B$15,0)</f>
        <v>140</v>
      </c>
      <c r="E6" s="26" t="n">
        <f aca="false">ROUND(E4/Supuestos!$B$15,0)</f>
        <v>210</v>
      </c>
    </row>
    <row r="7" customFormat="false" ht="15" hidden="false" customHeight="true" outlineLevel="0" collapsed="false">
      <c r="A7" s="25" t="s">
        <v>104</v>
      </c>
      <c r="B7" s="27" t="n">
        <f aca="false">B4/Supuestos!$B$16</f>
        <v>12.5</v>
      </c>
      <c r="C7" s="27" t="n">
        <f aca="false">C4/Supuestos!$B$16</f>
        <v>25</v>
      </c>
      <c r="D7" s="27" t="n">
        <f aca="false">D4/Supuestos!$B$16</f>
        <v>50</v>
      </c>
      <c r="E7" s="27" t="n">
        <f aca="false">E4/Supuestos!$B$16</f>
        <v>75</v>
      </c>
    </row>
    <row r="8" customFormat="false" ht="15" hidden="false" customHeight="true" outlineLevel="0" collapsed="false">
      <c r="A8" s="5" t="s">
        <v>105</v>
      </c>
      <c r="B8" s="24"/>
      <c r="C8" s="24"/>
      <c r="D8" s="24"/>
      <c r="E8" s="24"/>
    </row>
    <row r="9" customFormat="false" ht="15" hidden="false" customHeight="true" outlineLevel="0" collapsed="false">
      <c r="A9" s="25" t="s">
        <v>106</v>
      </c>
      <c r="B9" s="28" t="n">
        <f aca="false">B4*Supuestos!$B$7</f>
        <v>2500000</v>
      </c>
      <c r="C9" s="28" t="n">
        <f aca="false">C4*Supuestos!$B$7</f>
        <v>5000000</v>
      </c>
      <c r="D9" s="28" t="n">
        <f aca="false">D4*Supuestos!$B$7</f>
        <v>10000000</v>
      </c>
      <c r="E9" s="28" t="n">
        <f aca="false">E4*Supuestos!$B$7</f>
        <v>15000000</v>
      </c>
    </row>
    <row r="10" customFormat="false" ht="15" hidden="false" customHeight="true" outlineLevel="0" collapsed="false">
      <c r="A10" s="25" t="s">
        <v>107</v>
      </c>
      <c r="B10" s="28" t="n">
        <f aca="false">B7*Supuestos!$B$8</f>
        <v>187500</v>
      </c>
      <c r="C10" s="28" t="n">
        <f aca="false">C7*Supuestos!$B$8</f>
        <v>375000</v>
      </c>
      <c r="D10" s="28" t="n">
        <f aca="false">D7*Supuestos!$B$8</f>
        <v>750000</v>
      </c>
      <c r="E10" s="28" t="n">
        <f aca="false">E7*Supuestos!$B$8</f>
        <v>1125000</v>
      </c>
    </row>
    <row r="11" customFormat="false" ht="15" hidden="false" customHeight="true" outlineLevel="0" collapsed="false">
      <c r="A11" s="25" t="s">
        <v>108</v>
      </c>
      <c r="B11" s="28" t="n">
        <f aca="false">B4*Supuestos!$B$10*Supuestos!$B$9</f>
        <v>0</v>
      </c>
      <c r="C11" s="28" t="n">
        <f aca="false">C4*Supuestos!$B$10*Supuestos!$B$9</f>
        <v>0</v>
      </c>
      <c r="D11" s="28" t="n">
        <f aca="false">D4*Supuestos!$B$10*Supuestos!$B$9</f>
        <v>0</v>
      </c>
      <c r="E11" s="28" t="n">
        <f aca="false">E4*Supuestos!$B$10*Supuestos!$B$9</f>
        <v>0</v>
      </c>
    </row>
    <row r="12" customFormat="false" ht="15" hidden="false" customHeight="true" outlineLevel="0" collapsed="false">
      <c r="A12" s="29" t="s">
        <v>109</v>
      </c>
      <c r="B12" s="30" t="n">
        <f aca="false">SUM(B9:B11)</f>
        <v>2687500</v>
      </c>
      <c r="C12" s="30" t="n">
        <f aca="false">SUM(C9:C11)</f>
        <v>5375000</v>
      </c>
      <c r="D12" s="30" t="n">
        <f aca="false">SUM(D9:D11)</f>
        <v>10750000</v>
      </c>
      <c r="E12" s="30" t="n">
        <f aca="false">SUM(E9:E11)</f>
        <v>16125000</v>
      </c>
    </row>
    <row r="13" customFormat="false" ht="15" hidden="false" customHeight="true" outlineLevel="0" collapsed="false">
      <c r="A13" s="25" t="s">
        <v>110</v>
      </c>
      <c r="B13" s="28" t="n">
        <f aca="false">IF(Supuestos!$B$11=1,B12-B12/(1+Supuestos!$B$12),0)</f>
        <v>0</v>
      </c>
      <c r="C13" s="28" t="n">
        <f aca="false">IF(Supuestos!$B$11=1,C12-C12/(1+Supuestos!$B$12),0)</f>
        <v>0</v>
      </c>
      <c r="D13" s="28" t="n">
        <f aca="false">IF(Supuestos!$B$11=1,D12-D12/(1+Supuestos!$B$12),0)</f>
        <v>0</v>
      </c>
      <c r="E13" s="28" t="n">
        <f aca="false">IF(Supuestos!$B$11=1,E12-E12/(1+Supuestos!$B$12),0)</f>
        <v>0</v>
      </c>
    </row>
    <row r="14" customFormat="false" ht="15" hidden="false" customHeight="true" outlineLevel="0" collapsed="false">
      <c r="A14" s="29" t="s">
        <v>111</v>
      </c>
      <c r="B14" s="30" t="n">
        <f aca="false">B12-B13</f>
        <v>2687500</v>
      </c>
      <c r="C14" s="30" t="n">
        <f aca="false">C12-C13</f>
        <v>5375000</v>
      </c>
      <c r="D14" s="30" t="n">
        <f aca="false">D12-D13</f>
        <v>10750000</v>
      </c>
      <c r="E14" s="30" t="n">
        <f aca="false">E12-E13</f>
        <v>16125000</v>
      </c>
    </row>
    <row r="15" customFormat="false" ht="15" hidden="false" customHeight="true" outlineLevel="0" collapsed="false">
      <c r="A15" s="5" t="s">
        <v>112</v>
      </c>
      <c r="B15" s="24"/>
      <c r="C15" s="24"/>
      <c r="D15" s="24"/>
      <c r="E15" s="24"/>
    </row>
    <row r="16" customFormat="false" ht="15" hidden="false" customHeight="true" outlineLevel="0" collapsed="false">
      <c r="A16" s="25" t="s">
        <v>113</v>
      </c>
      <c r="B16" s="28" t="n">
        <f aca="false">(B6*Supuestos!$B$28+B4*Supuestos!$B$29+B7*Supuestos!$B$30)*(1+Supuestos!$B$31)*Supuestos!$B$17</f>
        <v>123500</v>
      </c>
      <c r="C16" s="28" t="n">
        <f aca="false">(C6*Supuestos!$B$28+C4*Supuestos!$B$29+C7*Supuestos!$B$30)*(1+Supuestos!$B$31)*Supuestos!$B$17</f>
        <v>247000</v>
      </c>
      <c r="D16" s="28" t="n">
        <f aca="false">(D6*Supuestos!$B$28+D4*Supuestos!$B$29+D7*Supuestos!$B$30)*(1+Supuestos!$B$31)*Supuestos!$B$17</f>
        <v>494000</v>
      </c>
      <c r="E16" s="28" t="n">
        <f aca="false">(E6*Supuestos!$B$28+E4*Supuestos!$B$29+E7*Supuestos!$B$30)*(1+Supuestos!$B$31)*Supuestos!$B$17</f>
        <v>741000</v>
      </c>
    </row>
    <row r="17" customFormat="false" ht="15" hidden="false" customHeight="true" outlineLevel="0" collapsed="false">
      <c r="A17" s="25" t="s">
        <v>28</v>
      </c>
      <c r="B17" s="28" t="n">
        <f aca="false">(MAX(0,B6*Supuestos!$B$19-Supuestos!$B$20)*Supuestos!$B$21+B6*Supuestos!$B$22*Supuestos!$B$21+B7*Supuestos!$B$23)*Supuestos!$B$17</f>
        <v>20721</v>
      </c>
      <c r="C17" s="28" t="n">
        <f aca="false">(MAX(0,C6*Supuestos!$B$19-Supuestos!$B$20)*Supuestos!$B$21+C6*Supuestos!$B$22*Supuestos!$B$21+C7*Supuestos!$B$23)*Supuestos!$B$17</f>
        <v>44642</v>
      </c>
      <c r="D17" s="28" t="n">
        <f aca="false">(MAX(0,D6*Supuestos!$B$19-Supuestos!$B$20)*Supuestos!$B$21+D6*Supuestos!$B$22*Supuestos!$B$21+D7*Supuestos!$B$23)*Supuestos!$B$17</f>
        <v>92484</v>
      </c>
      <c r="E17" s="28" t="n">
        <f aca="false">(MAX(0,E6*Supuestos!$B$19-Supuestos!$B$20)*Supuestos!$B$21+E6*Supuestos!$B$22*Supuestos!$B$21+E7*Supuestos!$B$23)*Supuestos!$B$17</f>
        <v>140326</v>
      </c>
    </row>
    <row r="18" customFormat="false" ht="15" hidden="false" customHeight="true" outlineLevel="0" collapsed="false">
      <c r="A18" s="25" t="s">
        <v>114</v>
      </c>
      <c r="B18" s="28" t="n">
        <f aca="false">B6*Supuestos!$B$25*Supuestos!$B$26*Supuestos!$B$17</f>
        <v>12600</v>
      </c>
      <c r="C18" s="28" t="n">
        <f aca="false">C6*Supuestos!$B$25*Supuestos!$B$26*Supuestos!$B$17</f>
        <v>25200</v>
      </c>
      <c r="D18" s="28" t="n">
        <f aca="false">D6*Supuestos!$B$25*Supuestos!$B$26*Supuestos!$B$17</f>
        <v>50400</v>
      </c>
      <c r="E18" s="28" t="n">
        <f aca="false">E6*Supuestos!$B$25*Supuestos!$B$26*Supuestos!$B$17</f>
        <v>75600</v>
      </c>
    </row>
    <row r="19" customFormat="false" ht="15" hidden="false" customHeight="true" outlineLevel="0" collapsed="false">
      <c r="A19" s="25" t="s">
        <v>115</v>
      </c>
      <c r="B19" s="28" t="n">
        <f aca="false">(Supuestos!$B$33+IF(B4&gt;Supuestos!$B$35,Supuestos!$B$34,0))*Supuestos!$B$17</f>
        <v>100000</v>
      </c>
      <c r="C19" s="28" t="n">
        <f aca="false">(Supuestos!$B$33+IF(C4&gt;Supuestos!$B$35,Supuestos!$B$34,0))*Supuestos!$B$17</f>
        <v>100000</v>
      </c>
      <c r="D19" s="28" t="n">
        <f aca="false">(Supuestos!$B$33+IF(D4&gt;Supuestos!$B$35,Supuestos!$B$34,0))*Supuestos!$B$17</f>
        <v>100000</v>
      </c>
      <c r="E19" s="28" t="n">
        <f aca="false">(Supuestos!$B$33+IF(E4&gt;Supuestos!$B$35,Supuestos!$B$34,0))*Supuestos!$B$17</f>
        <v>140000</v>
      </c>
    </row>
    <row r="20" customFormat="false" ht="15" hidden="false" customHeight="true" outlineLevel="0" collapsed="false">
      <c r="A20" s="25" t="s">
        <v>116</v>
      </c>
      <c r="B20" s="28" t="n">
        <f aca="false">IF(B4&gt;Supuestos!$B$38,Supuestos!$B$37,Supuestos!$B$36)*Supuestos!$B$17</f>
        <v>80000</v>
      </c>
      <c r="C20" s="28" t="n">
        <f aca="false">IF(C4&gt;Supuestos!$B$38,Supuestos!$B$37,Supuestos!$B$36)*Supuestos!$B$17</f>
        <v>80000</v>
      </c>
      <c r="D20" s="28" t="n">
        <f aca="false">IF(D4&gt;Supuestos!$B$38,Supuestos!$B$37,Supuestos!$B$36)*Supuestos!$B$17</f>
        <v>120000</v>
      </c>
      <c r="E20" s="28" t="n">
        <f aca="false">IF(E4&gt;Supuestos!$B$38,Supuestos!$B$37,Supuestos!$B$36)*Supuestos!$B$17</f>
        <v>120000</v>
      </c>
    </row>
    <row r="21" customFormat="false" ht="15" hidden="false" customHeight="true" outlineLevel="0" collapsed="false">
      <c r="A21" s="25" t="s">
        <v>117</v>
      </c>
      <c r="B21" s="28" t="n">
        <f aca="false">SUM(B16:B20)*Supuestos!$B$39</f>
        <v>50523.15</v>
      </c>
      <c r="C21" s="28" t="n">
        <f aca="false">SUM(C16:C20)*Supuestos!$B$39</f>
        <v>74526.3</v>
      </c>
      <c r="D21" s="28" t="n">
        <f aca="false">SUM(D16:D20)*Supuestos!$B$39</f>
        <v>128532.6</v>
      </c>
      <c r="E21" s="28" t="n">
        <f aca="false">SUM(E16:E20)*Supuestos!$B$39</f>
        <v>182538.9</v>
      </c>
    </row>
    <row r="22" customFormat="false" ht="15" hidden="false" customHeight="true" outlineLevel="0" collapsed="false">
      <c r="A22" s="5" t="s">
        <v>63</v>
      </c>
      <c r="B22" s="24"/>
      <c r="C22" s="24"/>
      <c r="D22" s="24"/>
      <c r="E22" s="24"/>
    </row>
    <row r="23" customFormat="false" ht="15" hidden="false" customHeight="true" outlineLevel="0" collapsed="false">
      <c r="A23" s="25" t="s">
        <v>118</v>
      </c>
      <c r="B23" s="28" t="n">
        <f aca="false">(B12*Supuestos!$B$41+(B4+B7)*Supuestos!$B$42)*(1+Supuestos!$B$43)*Supuestos!$B$44</f>
        <v>109450.25</v>
      </c>
      <c r="C23" s="28" t="n">
        <f aca="false">(C12*Supuestos!$B$41+(C4+C7)*Supuestos!$B$42)*(1+Supuestos!$B$43)*Supuestos!$B$44</f>
        <v>218900.5</v>
      </c>
      <c r="D23" s="28" t="n">
        <f aca="false">(D12*Supuestos!$B$41+(D4+D7)*Supuestos!$B$42)*(1+Supuestos!$B$43)*Supuestos!$B$44</f>
        <v>437801</v>
      </c>
      <c r="E23" s="28" t="n">
        <f aca="false">(E12*Supuestos!$B$41+(E4+E7)*Supuestos!$B$42)*(1+Supuestos!$B$43)*Supuestos!$B$44</f>
        <v>656701.5</v>
      </c>
    </row>
    <row r="24" customFormat="false" ht="15" hidden="false" customHeight="true" outlineLevel="0" collapsed="false">
      <c r="A24" s="25" t="s">
        <v>70</v>
      </c>
      <c r="B24" s="28" t="n">
        <f aca="false">B12*Supuestos!$B$45</f>
        <v>10750</v>
      </c>
      <c r="C24" s="28" t="n">
        <f aca="false">C12*Supuestos!$B$45</f>
        <v>21500</v>
      </c>
      <c r="D24" s="28" t="n">
        <f aca="false">D12*Supuestos!$B$45</f>
        <v>43000</v>
      </c>
      <c r="E24" s="28" t="n">
        <f aca="false">E12*Supuestos!$B$45</f>
        <v>64500</v>
      </c>
    </row>
    <row r="25" customFormat="false" ht="15" hidden="false" customHeight="true" outlineLevel="0" collapsed="false">
      <c r="A25" s="5" t="s">
        <v>72</v>
      </c>
      <c r="B25" s="24"/>
      <c r="C25" s="24"/>
      <c r="D25" s="24"/>
      <c r="E25" s="24"/>
    </row>
    <row r="26" customFormat="false" ht="15" hidden="false" customHeight="true" outlineLevel="0" collapsed="false">
      <c r="A26" s="25" t="s">
        <v>119</v>
      </c>
      <c r="B26" s="28" t="n">
        <f aca="false">Supuestos!$B$47</f>
        <v>65000</v>
      </c>
      <c r="C26" s="28" t="n">
        <f aca="false">Supuestos!$B$47</f>
        <v>65000</v>
      </c>
      <c r="D26" s="28" t="n">
        <f aca="false">Supuestos!$B$47</f>
        <v>65000</v>
      </c>
      <c r="E26" s="28" t="n">
        <f aca="false">Supuestos!$B$47</f>
        <v>65000</v>
      </c>
    </row>
    <row r="27" customFormat="false" ht="15" hidden="false" customHeight="true" outlineLevel="0" collapsed="false">
      <c r="A27" s="25" t="s">
        <v>120</v>
      </c>
      <c r="B27" s="28" t="n">
        <f aca="false">IF(B4&gt;Supuestos!$B$50,Supuestos!$B$49,Supuestos!$B$48)</f>
        <v>150000</v>
      </c>
      <c r="C27" s="28" t="n">
        <f aca="false">IF(C4&gt;Supuestos!$B$50,Supuestos!$B$49,Supuestos!$B$48)</f>
        <v>340000</v>
      </c>
      <c r="D27" s="28" t="n">
        <f aca="false">IF(D4&gt;Supuestos!$B$50,Supuestos!$B$49,Supuestos!$B$48)</f>
        <v>340000</v>
      </c>
      <c r="E27" s="28" t="n">
        <f aca="false">IF(E4&gt;Supuestos!$B$50,Supuestos!$B$49,Supuestos!$B$48)</f>
        <v>340000</v>
      </c>
    </row>
    <row r="28" customFormat="false" ht="15" hidden="false" customHeight="true" outlineLevel="0" collapsed="false">
      <c r="A28" s="25" t="s">
        <v>121</v>
      </c>
      <c r="B28" s="28" t="n">
        <f aca="false">B4*Supuestos!$B$51/60*Supuestos!$B$52</f>
        <v>300000</v>
      </c>
      <c r="C28" s="28" t="n">
        <f aca="false">C4*Supuestos!$B$51/60*Supuestos!$B$52</f>
        <v>600000</v>
      </c>
      <c r="D28" s="28" t="n">
        <f aca="false">D4*Supuestos!$B$51/60*Supuestos!$B$52</f>
        <v>1200000</v>
      </c>
      <c r="E28" s="28" t="n">
        <f aca="false">E4*Supuestos!$B$51/60*Supuestos!$B$52</f>
        <v>1800000</v>
      </c>
    </row>
    <row r="29" customFormat="false" ht="15" hidden="false" customHeight="true" outlineLevel="0" collapsed="false">
      <c r="A29" s="25" t="s">
        <v>122</v>
      </c>
      <c r="B29" s="28" t="n">
        <f aca="false">B14*Supuestos!$B$53</f>
        <v>80625</v>
      </c>
      <c r="C29" s="28" t="n">
        <f aca="false">C14*Supuestos!$B$53</f>
        <v>161250</v>
      </c>
      <c r="D29" s="28" t="n">
        <f aca="false">D14*Supuestos!$B$53</f>
        <v>322500</v>
      </c>
      <c r="E29" s="28" t="n">
        <f aca="false">E14*Supuestos!$B$53</f>
        <v>483750</v>
      </c>
    </row>
    <row r="30" customFormat="false" ht="15" hidden="false" customHeight="true" outlineLevel="0" collapsed="false">
      <c r="A30" s="25" t="s">
        <v>85</v>
      </c>
      <c r="B30" s="28" t="n">
        <f aca="false">B14*Supuestos!$B$54</f>
        <v>188125</v>
      </c>
      <c r="C30" s="28" t="n">
        <f aca="false">C14*Supuestos!$B$54</f>
        <v>376250</v>
      </c>
      <c r="D30" s="28" t="n">
        <f aca="false">D14*Supuestos!$B$54</f>
        <v>752500</v>
      </c>
      <c r="E30" s="28" t="n">
        <f aca="false">E14*Supuestos!$B$54</f>
        <v>1128750</v>
      </c>
    </row>
    <row r="31" customFormat="false" ht="15" hidden="false" customHeight="true" outlineLevel="0" collapsed="false">
      <c r="A31" s="29" t="s">
        <v>123</v>
      </c>
      <c r="B31" s="30" t="n">
        <f aca="false">SUM(B16:B20)+B21+B23+B24+SUM(B26:B30)</f>
        <v>1291294.4</v>
      </c>
      <c r="C31" s="30" t="n">
        <f aca="false">SUM(C16:C20)+C21+C23+C24+SUM(C26:C30)</f>
        <v>2354268.8</v>
      </c>
      <c r="D31" s="30" t="n">
        <f aca="false">SUM(D16:D20)+D21+D23+D24+SUM(D26:D30)</f>
        <v>4146217.6</v>
      </c>
      <c r="E31" s="30" t="n">
        <f aca="false">SUM(E16:E20)+E21+E23+E24+SUM(E26:E30)</f>
        <v>5938166.4</v>
      </c>
    </row>
    <row r="32" customFormat="false" ht="15" hidden="false" customHeight="true" outlineLevel="0" collapsed="false">
      <c r="A32" s="5" t="s">
        <v>124</v>
      </c>
      <c r="B32" s="24"/>
      <c r="C32" s="24"/>
      <c r="D32" s="24"/>
      <c r="E32" s="24"/>
    </row>
    <row r="33" customFormat="false" ht="15" hidden="false" customHeight="true" outlineLevel="0" collapsed="false">
      <c r="A33" s="31" t="s">
        <v>125</v>
      </c>
      <c r="B33" s="32" t="n">
        <f aca="false">B14-B31</f>
        <v>1396205.6</v>
      </c>
      <c r="C33" s="32" t="n">
        <f aca="false">C14-C31</f>
        <v>3020731.2</v>
      </c>
      <c r="D33" s="32" t="n">
        <f aca="false">D14-D31</f>
        <v>6603782.4</v>
      </c>
      <c r="E33" s="32" t="n">
        <f aca="false">E14-E31</f>
        <v>10186833.6</v>
      </c>
    </row>
    <row r="34" customFormat="false" ht="15" hidden="false" customHeight="true" outlineLevel="0" collapsed="false">
      <c r="A34" s="22" t="s">
        <v>126</v>
      </c>
      <c r="B34" s="33" t="n">
        <f aca="false">IF(B14=0,0,B33/B14)</f>
        <v>0.519518362790698</v>
      </c>
      <c r="C34" s="33" t="n">
        <f aca="false">IF(C14=0,0,C33/C14)</f>
        <v>0.561996502325581</v>
      </c>
      <c r="D34" s="33" t="n">
        <f aca="false">IF(D14=0,0,D33/D14)</f>
        <v>0.614305339534884</v>
      </c>
      <c r="E34" s="33" t="n">
        <f aca="false">IF(E14=0,0,E33/E14)</f>
        <v>0.631741618604651</v>
      </c>
    </row>
    <row r="35" customFormat="false" ht="15" hidden="false" customHeight="true" outlineLevel="0" collapsed="false">
      <c r="A35" s="25" t="s">
        <v>127</v>
      </c>
      <c r="B35" s="28" t="n">
        <f aca="false">IF(B4=0,0,B31/B4)</f>
        <v>25825.888</v>
      </c>
      <c r="C35" s="28" t="n">
        <f aca="false">IF(C4=0,0,C31/C4)</f>
        <v>23542.688</v>
      </c>
      <c r="D35" s="28" t="n">
        <f aca="false">IF(D4=0,0,D31/D4)</f>
        <v>20731.088</v>
      </c>
      <c r="E35" s="28" t="n">
        <f aca="false">IF(E4=0,0,E31/E4)</f>
        <v>19793.888</v>
      </c>
    </row>
    <row r="36" customFormat="false" ht="15" hidden="false" customHeight="true" outlineLevel="0" collapsed="false">
      <c r="A36" s="25" t="s">
        <v>128</v>
      </c>
      <c r="B36" s="28" t="n">
        <f aca="false">IF(B4=0,0,(B31-B28-B30)/B4)</f>
        <v>16063.388</v>
      </c>
      <c r="C36" s="28" t="n">
        <f aca="false">IF(C4=0,0,(C31-C28-C30)/C4)</f>
        <v>13780.188</v>
      </c>
      <c r="D36" s="28" t="n">
        <f aca="false">IF(D4=0,0,(D31-D28-D30)/D4)</f>
        <v>10968.588</v>
      </c>
      <c r="E36" s="28" t="n">
        <f aca="false">IF(E4=0,0,(E31-E28-E30)/E4)</f>
        <v>10031.388</v>
      </c>
    </row>
    <row r="37" customFormat="false" ht="15" hidden="false" customHeight="true" outlineLevel="0" collapsed="false">
      <c r="A37" s="25" t="s">
        <v>129</v>
      </c>
      <c r="B37" s="28" t="n">
        <f aca="false">IF(B4=0,0,B33/B4)</f>
        <v>27924.112</v>
      </c>
      <c r="C37" s="28" t="n">
        <f aca="false">IF(C4=0,0,C33/C4)</f>
        <v>30207.312</v>
      </c>
      <c r="D37" s="28" t="n">
        <f aca="false">IF(D4=0,0,D33/D4)</f>
        <v>33018.912</v>
      </c>
      <c r="E37" s="28" t="n">
        <f aca="false">IF(E4=0,0,E33/E4)</f>
        <v>33956.112</v>
      </c>
    </row>
    <row r="38" customFormat="false" ht="15" hidden="false" customHeight="true" outlineLevel="0" collapsed="false">
      <c r="A38" s="25" t="s">
        <v>130</v>
      </c>
      <c r="B38" s="26" t="n">
        <f aca="false">B4*Supuestos!$B$51/60</f>
        <v>10</v>
      </c>
      <c r="C38" s="26" t="n">
        <f aca="false">C4*Supuestos!$B$51/60</f>
        <v>20</v>
      </c>
      <c r="D38" s="26" t="n">
        <f aca="false">D4*Supuestos!$B$51/60</f>
        <v>40</v>
      </c>
      <c r="E38" s="26" t="n">
        <f aca="false">E4*Supuestos!$B$51/60</f>
        <v>60</v>
      </c>
    </row>
    <row r="39" customFormat="false" ht="15" hidden="false" customHeight="true" outlineLevel="0" collapsed="false">
      <c r="A39" s="25" t="s">
        <v>131</v>
      </c>
      <c r="B39" s="28" t="n">
        <f aca="false">B19+B20+(B19+B20)*Supuestos!$B$39+B26+B27</f>
        <v>422000</v>
      </c>
      <c r="C39" s="28" t="n">
        <f aca="false">C19+C20+(C19+C20)*Supuestos!$B$39+C26+C27</f>
        <v>612000</v>
      </c>
      <c r="D39" s="28" t="n">
        <f aca="false">D19+D20+(D19+D20)*Supuestos!$B$39+D26+D27</f>
        <v>658000</v>
      </c>
      <c r="E39" s="28" t="n">
        <f aca="false">E19+E20+(E19+E20)*Supuestos!$B$39+E26+E27</f>
        <v>704000</v>
      </c>
    </row>
    <row r="40" customFormat="false" ht="15" hidden="false" customHeight="true" outlineLevel="0" collapsed="false">
      <c r="A40" s="25" t="s">
        <v>132</v>
      </c>
      <c r="B40" s="27" t="n">
        <f aca="false">IFERROR(B39/((B14-(B31-B39))/B4),0)</f>
        <v>11.6048482085854</v>
      </c>
      <c r="C40" s="27" t="n">
        <f aca="false">IFERROR(C39/((C14-(C31-C39))/C4),0)</f>
        <v>16.8468286340591</v>
      </c>
      <c r="D40" s="27" t="n">
        <f aca="false">IFERROR(D39/((D14-(D31-D39))/D4),0)</f>
        <v>18.1222725704367</v>
      </c>
      <c r="E40" s="27" t="n">
        <f aca="false">IFERROR(E39/((E14-(E31-E39))/E4),0)</f>
        <v>19.392454954045</v>
      </c>
    </row>
    <row r="41" customFormat="false" ht="15" hidden="false" customHeight="true" outlineLevel="0" collapsed="false">
      <c r="A41" s="25" t="s">
        <v>133</v>
      </c>
      <c r="B41" s="28" t="n">
        <f aca="false">B12*12</f>
        <v>32250000</v>
      </c>
      <c r="C41" s="28" t="n">
        <f aca="false">C12*12</f>
        <v>64500000</v>
      </c>
      <c r="D41" s="28" t="n">
        <f aca="false">D12*12</f>
        <v>129000000</v>
      </c>
      <c r="E41" s="28" t="n">
        <f aca="false">E12*12</f>
        <v>193500000</v>
      </c>
    </row>
    <row r="42" customFormat="false" ht="15" hidden="false" customHeight="true" outlineLevel="0" collapsed="false">
      <c r="A42" s="25" t="s">
        <v>134</v>
      </c>
      <c r="B42" s="28" t="n">
        <f aca="false">3500*Supuestos!$B$13</f>
        <v>182000000</v>
      </c>
      <c r="C42" s="28" t="n">
        <f aca="false">3500*Supuestos!$B$13</f>
        <v>182000000</v>
      </c>
      <c r="D42" s="28" t="n">
        <f aca="false">3500*Supuestos!$B$13</f>
        <v>182000000</v>
      </c>
      <c r="E42" s="28" t="n">
        <f aca="false">3500*Supuestos!$B$13</f>
        <v>182000000</v>
      </c>
    </row>
    <row r="43" customFormat="false" ht="15" hidden="false" customHeight="true" outlineLevel="0" collapsed="false">
      <c r="A43" s="22" t="s">
        <v>135</v>
      </c>
      <c r="B43" s="34" t="str">
        <f aca="false">IF(B41&gt;B42,"SÍ — revisar IVA","No")</f>
        <v>No</v>
      </c>
      <c r="C43" s="34" t="str">
        <f aca="false">IF(C41&gt;C42,"SÍ — revisar IVA","No")</f>
        <v>No</v>
      </c>
      <c r="D43" s="34" t="str">
        <f aca="false">IF(D41&gt;D42,"SÍ — revisar IVA","No")</f>
        <v>No</v>
      </c>
      <c r="E43" s="34" t="str">
        <f aca="false">IF(E41&gt;E42,"SÍ — revisar IVA","No")</f>
        <v>SÍ — revisar IVA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5" min="2" style="1" width="18"/>
  </cols>
  <sheetData>
    <row r="1" customFormat="false" ht="17.25" hidden="false" customHeight="true" outlineLevel="0" collapsed="false">
      <c r="A1" s="2" t="s">
        <v>136</v>
      </c>
    </row>
    <row r="2" customFormat="false" ht="15" hidden="false" customHeight="true" outlineLevel="0" collapsed="false">
      <c r="A2" s="3" t="s">
        <v>137</v>
      </c>
    </row>
    <row r="4" customFormat="false" ht="15" hidden="false" customHeight="true" outlineLevel="0" collapsed="false">
      <c r="A4" s="22" t="s">
        <v>138</v>
      </c>
      <c r="B4" s="35" t="n">
        <f aca="false">Balance!B4</f>
        <v>50</v>
      </c>
      <c r="C4" s="35" t="n">
        <f aca="false">Balance!C4</f>
        <v>100</v>
      </c>
      <c r="D4" s="35" t="n">
        <f aca="false">Balance!D4</f>
        <v>200</v>
      </c>
      <c r="E4" s="35" t="n">
        <f aca="false">Balance!E4</f>
        <v>300</v>
      </c>
    </row>
    <row r="5" customFormat="false" ht="15" hidden="false" customHeight="true" outlineLevel="0" collapsed="false">
      <c r="A5" s="5" t="s">
        <v>21</v>
      </c>
      <c r="B5" s="5"/>
      <c r="C5" s="5"/>
      <c r="D5" s="5"/>
      <c r="E5" s="5"/>
    </row>
    <row r="6" customFormat="false" ht="15" hidden="false" customHeight="true" outlineLevel="0" collapsed="false">
      <c r="A6" s="25" t="s">
        <v>139</v>
      </c>
      <c r="B6" s="26" t="n">
        <f aca="false">B4*Supuestos!$B$60</f>
        <v>25</v>
      </c>
      <c r="C6" s="26" t="n">
        <f aca="false">C4*Supuestos!$B$60</f>
        <v>50</v>
      </c>
      <c r="D6" s="26" t="n">
        <f aca="false">D4*Supuestos!$B$60</f>
        <v>100</v>
      </c>
      <c r="E6" s="26" t="n">
        <f aca="false">E4*Supuestos!$B$60</f>
        <v>150</v>
      </c>
    </row>
    <row r="7" customFormat="false" ht="15" hidden="false" customHeight="true" outlineLevel="0" collapsed="false">
      <c r="A7" s="25" t="s">
        <v>140</v>
      </c>
      <c r="B7" s="26" t="n">
        <f aca="false">B6*Supuestos!$B$61</f>
        <v>6.25</v>
      </c>
      <c r="C7" s="26" t="n">
        <f aca="false">C6*Supuestos!$B$61</f>
        <v>12.5</v>
      </c>
      <c r="D7" s="26" t="n">
        <f aca="false">D6*Supuestos!$B$61</f>
        <v>25</v>
      </c>
      <c r="E7" s="26" t="n">
        <f aca="false">E6*Supuestos!$B$61</f>
        <v>37.5</v>
      </c>
    </row>
    <row r="8" customFormat="false" ht="15" hidden="false" customHeight="true" outlineLevel="0" collapsed="false">
      <c r="A8" s="25" t="s">
        <v>141</v>
      </c>
      <c r="B8" s="26" t="n">
        <f aca="false">B6-B7</f>
        <v>18.75</v>
      </c>
      <c r="C8" s="26" t="n">
        <f aca="false">C6-C7</f>
        <v>37.5</v>
      </c>
      <c r="D8" s="26" t="n">
        <f aca="false">D6-D7</f>
        <v>75</v>
      </c>
      <c r="E8" s="26" t="n">
        <f aca="false">E6-E7</f>
        <v>112.5</v>
      </c>
    </row>
    <row r="9" customFormat="false" ht="15" hidden="false" customHeight="true" outlineLevel="0" collapsed="false">
      <c r="A9" s="25" t="s">
        <v>142</v>
      </c>
      <c r="B9" s="26" t="n">
        <f aca="false">B4-B7</f>
        <v>43.75</v>
      </c>
      <c r="C9" s="26" t="n">
        <f aca="false">C4-C7</f>
        <v>87.5</v>
      </c>
      <c r="D9" s="26" t="n">
        <f aca="false">D4-D7</f>
        <v>175</v>
      </c>
      <c r="E9" s="26" t="n">
        <f aca="false">E4-E7</f>
        <v>262.5</v>
      </c>
    </row>
    <row r="10" customFormat="false" ht="15" hidden="false" customHeight="true" outlineLevel="0" collapsed="false">
      <c r="A10" s="22" t="s">
        <v>143</v>
      </c>
      <c r="B10" s="36" t="n">
        <f aca="false">B9+B6</f>
        <v>68.75</v>
      </c>
      <c r="C10" s="36" t="n">
        <f aca="false">C9+C6</f>
        <v>137.5</v>
      </c>
      <c r="D10" s="36" t="n">
        <f aca="false">D9+D6</f>
        <v>275</v>
      </c>
      <c r="E10" s="36" t="n">
        <f aca="false">E9+E6</f>
        <v>412.5</v>
      </c>
    </row>
    <row r="11" customFormat="false" ht="15" hidden="false" customHeight="true" outlineLevel="0" collapsed="false">
      <c r="A11" s="25" t="s">
        <v>103</v>
      </c>
      <c r="B11" s="26" t="n">
        <f aca="false">ROUND(B10/Supuestos!$B$15,0)</f>
        <v>48</v>
      </c>
      <c r="C11" s="26" t="n">
        <f aca="false">ROUND(C10/Supuestos!$B$15,0)</f>
        <v>96</v>
      </c>
      <c r="D11" s="26" t="n">
        <f aca="false">ROUND(D10/Supuestos!$B$15,0)</f>
        <v>192</v>
      </c>
      <c r="E11" s="26" t="n">
        <f aca="false">ROUND(E10/Supuestos!$B$15,0)</f>
        <v>288</v>
      </c>
    </row>
    <row r="12" customFormat="false" ht="15" hidden="false" customHeight="true" outlineLevel="0" collapsed="false">
      <c r="A12" s="25" t="s">
        <v>104</v>
      </c>
      <c r="B12" s="27" t="n">
        <f aca="false">B10/Supuestos!$B$16</f>
        <v>17.1875</v>
      </c>
      <c r="C12" s="27" t="n">
        <f aca="false">C10/Supuestos!$B$16</f>
        <v>34.375</v>
      </c>
      <c r="D12" s="27" t="n">
        <f aca="false">D10/Supuestos!$B$16</f>
        <v>68.75</v>
      </c>
      <c r="E12" s="27" t="n">
        <f aca="false">E10/Supuestos!$B$16</f>
        <v>103.125</v>
      </c>
    </row>
    <row r="13" customFormat="false" ht="15" hidden="false" customHeight="true" outlineLevel="0" collapsed="false">
      <c r="A13" s="25" t="s">
        <v>144</v>
      </c>
      <c r="B13" s="27" t="n">
        <f aca="false">IF(Supuestos!$B$59=0,0,B6/Supuestos!$B$59)</f>
        <v>3.125</v>
      </c>
      <c r="C13" s="27" t="n">
        <f aca="false">IF(Supuestos!$B$59=0,0,C6/Supuestos!$B$59)</f>
        <v>6.25</v>
      </c>
      <c r="D13" s="27" t="n">
        <f aca="false">IF(Supuestos!$B$59=0,0,D6/Supuestos!$B$59)</f>
        <v>12.5</v>
      </c>
      <c r="E13" s="27" t="n">
        <f aca="false">IF(Supuestos!$B$59=0,0,E6/Supuestos!$B$59)</f>
        <v>18.75</v>
      </c>
    </row>
    <row r="14" customFormat="false" ht="15" hidden="false" customHeight="true" outlineLevel="0" collapsed="false">
      <c r="A14" s="5" t="s">
        <v>145</v>
      </c>
      <c r="B14" s="5"/>
      <c r="C14" s="5"/>
      <c r="D14" s="5"/>
      <c r="E14" s="5"/>
    </row>
    <row r="15" customFormat="false" ht="15" hidden="false" customHeight="true" outlineLevel="0" collapsed="false">
      <c r="A15" s="25" t="s">
        <v>146</v>
      </c>
      <c r="B15" s="28" t="n">
        <f aca="false">B9*Supuestos!$B$7</f>
        <v>2187500</v>
      </c>
      <c r="C15" s="28" t="n">
        <f aca="false">C9*Supuestos!$B$7</f>
        <v>4375000</v>
      </c>
      <c r="D15" s="28" t="n">
        <f aca="false">D9*Supuestos!$B$7</f>
        <v>8750000</v>
      </c>
      <c r="E15" s="28" t="n">
        <f aca="false">E9*Supuestos!$B$7</f>
        <v>13125000</v>
      </c>
    </row>
    <row r="16" customFormat="false" ht="15" hidden="false" customHeight="true" outlineLevel="0" collapsed="false">
      <c r="A16" s="25" t="s">
        <v>147</v>
      </c>
      <c r="B16" s="28" t="n">
        <f aca="false">B6*Supuestos!$B$57</f>
        <v>750000</v>
      </c>
      <c r="C16" s="28" t="n">
        <f aca="false">C6*Supuestos!$B$57</f>
        <v>1500000</v>
      </c>
      <c r="D16" s="28" t="n">
        <f aca="false">D6*Supuestos!$B$57</f>
        <v>3000000</v>
      </c>
      <c r="E16" s="28" t="n">
        <f aca="false">E6*Supuestos!$B$57</f>
        <v>4500000</v>
      </c>
    </row>
    <row r="17" customFormat="false" ht="15" hidden="false" customHeight="true" outlineLevel="0" collapsed="false">
      <c r="A17" s="25" t="s">
        <v>107</v>
      </c>
      <c r="B17" s="28" t="n">
        <f aca="false">B12*Supuestos!$B$8</f>
        <v>257812.5</v>
      </c>
      <c r="C17" s="28" t="n">
        <f aca="false">C12*Supuestos!$B$8</f>
        <v>515625</v>
      </c>
      <c r="D17" s="28" t="n">
        <f aca="false">D12*Supuestos!$B$8</f>
        <v>1031250</v>
      </c>
      <c r="E17" s="28" t="n">
        <f aca="false">E12*Supuestos!$B$8</f>
        <v>1546875</v>
      </c>
    </row>
    <row r="18" customFormat="false" ht="15" hidden="false" customHeight="true" outlineLevel="0" collapsed="false">
      <c r="A18" s="25" t="s">
        <v>108</v>
      </c>
      <c r="B18" s="28" t="n">
        <f aca="false">B10*Supuestos!$B$10*Supuestos!$B$9</f>
        <v>0</v>
      </c>
      <c r="C18" s="28" t="n">
        <f aca="false">C10*Supuestos!$B$10*Supuestos!$B$9</f>
        <v>0</v>
      </c>
      <c r="D18" s="28" t="n">
        <f aca="false">D10*Supuestos!$B$10*Supuestos!$B$9</f>
        <v>0</v>
      </c>
      <c r="E18" s="28" t="n">
        <f aca="false">E10*Supuestos!$B$10*Supuestos!$B$9</f>
        <v>0</v>
      </c>
    </row>
    <row r="19" customFormat="false" ht="15" hidden="false" customHeight="true" outlineLevel="0" collapsed="false">
      <c r="A19" s="29" t="s">
        <v>109</v>
      </c>
      <c r="B19" s="30" t="n">
        <f aca="false">SUM(B15:B18)</f>
        <v>3195312.5</v>
      </c>
      <c r="C19" s="30" t="n">
        <f aca="false">SUM(C15:C18)</f>
        <v>6390625</v>
      </c>
      <c r="D19" s="30" t="n">
        <f aca="false">SUM(D15:D18)</f>
        <v>12781250</v>
      </c>
      <c r="E19" s="30" t="n">
        <f aca="false">SUM(E15:E18)</f>
        <v>19171875</v>
      </c>
    </row>
    <row r="20" customFormat="false" ht="15" hidden="false" customHeight="true" outlineLevel="0" collapsed="false">
      <c r="A20" s="25" t="s">
        <v>110</v>
      </c>
      <c r="B20" s="28" t="n">
        <f aca="false">IF(Supuestos!$B$11=1,B19-B19/(1+Supuestos!$B$12),0)</f>
        <v>0</v>
      </c>
      <c r="C20" s="28" t="n">
        <f aca="false">IF(Supuestos!$B$11=1,C19-C19/(1+Supuestos!$B$12),0)</f>
        <v>0</v>
      </c>
      <c r="D20" s="28" t="n">
        <f aca="false">IF(Supuestos!$B$11=1,D19-D19/(1+Supuestos!$B$12),0)</f>
        <v>0</v>
      </c>
      <c r="E20" s="28" t="n">
        <f aca="false">IF(Supuestos!$B$11=1,E19-E19/(1+Supuestos!$B$12),0)</f>
        <v>0</v>
      </c>
    </row>
    <row r="21" customFormat="false" ht="15" hidden="false" customHeight="true" outlineLevel="0" collapsed="false">
      <c r="A21" s="25" t="s">
        <v>111</v>
      </c>
      <c r="B21" s="28" t="n">
        <f aca="false">B19-B20</f>
        <v>3195312.5</v>
      </c>
      <c r="C21" s="28" t="n">
        <f aca="false">C19-C20</f>
        <v>6390625</v>
      </c>
      <c r="D21" s="28" t="n">
        <f aca="false">D19-D20</f>
        <v>12781250</v>
      </c>
      <c r="E21" s="28" t="n">
        <f aca="false">E19-E20</f>
        <v>19171875</v>
      </c>
    </row>
    <row r="22" customFormat="false" ht="15" hidden="false" customHeight="true" outlineLevel="0" collapsed="false">
      <c r="A22" s="5" t="s">
        <v>148</v>
      </c>
      <c r="B22" s="5"/>
      <c r="C22" s="5"/>
      <c r="D22" s="5"/>
      <c r="E22" s="5"/>
    </row>
    <row r="23" customFormat="false" ht="15" hidden="false" customHeight="true" outlineLevel="0" collapsed="false">
      <c r="A23" s="25" t="s">
        <v>113</v>
      </c>
      <c r="B23" s="28" t="n">
        <f aca="false">(B11*Supuestos!$B$28+B10*Supuestos!$B$29+B12*Supuestos!$B$30)*(1+Supuestos!$B$31)*Supuestos!$B$17</f>
        <v>169780</v>
      </c>
      <c r="C23" s="28" t="n">
        <f aca="false">(C11*Supuestos!$B$28+C10*Supuestos!$B$29+C12*Supuestos!$B$30)*(1+Supuestos!$B$31)*Supuestos!$B$17</f>
        <v>339560</v>
      </c>
      <c r="D23" s="28" t="n">
        <f aca="false">(D11*Supuestos!$B$28+D10*Supuestos!$B$29+D12*Supuestos!$B$30)*(1+Supuestos!$B$31)*Supuestos!$B$17</f>
        <v>679120</v>
      </c>
      <c r="E23" s="28" t="n">
        <f aca="false">(E11*Supuestos!$B$28+E10*Supuestos!$B$29+E12*Supuestos!$B$30)*(1+Supuestos!$B$31)*Supuestos!$B$17</f>
        <v>1018680</v>
      </c>
    </row>
    <row r="24" customFormat="false" ht="15" hidden="false" customHeight="true" outlineLevel="0" collapsed="false">
      <c r="A24" s="25" t="s">
        <v>28</v>
      </c>
      <c r="B24" s="28" t="n">
        <f aca="false">(MAX(0,B11*Supuestos!$B$19-Supuestos!$B$20)*Supuestos!$B$21+B11*Supuestos!$B$22*Supuestos!$B$21+B12*Supuestos!$B$23)*Supuestos!$B$17</f>
        <v>29608.175</v>
      </c>
      <c r="C24" s="28" t="n">
        <f aca="false">(MAX(0,C11*Supuestos!$B$19-Supuestos!$B$20)*Supuestos!$B$21+C11*Supuestos!$B$22*Supuestos!$B$21+C12*Supuestos!$B$23)*Supuestos!$B$17</f>
        <v>62416.35</v>
      </c>
      <c r="D24" s="28" t="n">
        <f aca="false">(MAX(0,D11*Supuestos!$B$19-Supuestos!$B$20)*Supuestos!$B$21+D11*Supuestos!$B$22*Supuestos!$B$21+D12*Supuestos!$B$23)*Supuestos!$B$17</f>
        <v>128032.7</v>
      </c>
      <c r="E24" s="28" t="n">
        <f aca="false">(MAX(0,E11*Supuestos!$B$19-Supuestos!$B$20)*Supuestos!$B$21+E11*Supuestos!$B$22*Supuestos!$B$21+E12*Supuestos!$B$23)*Supuestos!$B$17</f>
        <v>193649.05</v>
      </c>
    </row>
    <row r="25" customFormat="false" ht="15" hidden="false" customHeight="true" outlineLevel="0" collapsed="false">
      <c r="A25" s="25" t="s">
        <v>114</v>
      </c>
      <c r="B25" s="28" t="n">
        <f aca="false">B11*Supuestos!$B$25*Supuestos!$B$26*Supuestos!$B$17</f>
        <v>17280</v>
      </c>
      <c r="C25" s="28" t="n">
        <f aca="false">C11*Supuestos!$B$25*Supuestos!$B$26*Supuestos!$B$17</f>
        <v>34560</v>
      </c>
      <c r="D25" s="28" t="n">
        <f aca="false">D11*Supuestos!$B$25*Supuestos!$B$26*Supuestos!$B$17</f>
        <v>69120</v>
      </c>
      <c r="E25" s="28" t="n">
        <f aca="false">E11*Supuestos!$B$25*Supuestos!$B$26*Supuestos!$B$17</f>
        <v>103680</v>
      </c>
    </row>
    <row r="26" customFormat="false" ht="15" hidden="false" customHeight="true" outlineLevel="0" collapsed="false">
      <c r="A26" s="25" t="s">
        <v>115</v>
      </c>
      <c r="B26" s="28" t="n">
        <f aca="false">(Supuestos!$B$33+IF(B10&gt;Supuestos!$B$35,Supuestos!$B$34,0))*Supuestos!$B$17</f>
        <v>100000</v>
      </c>
      <c r="C26" s="28" t="n">
        <f aca="false">(Supuestos!$B$33+IF(C10&gt;Supuestos!$B$35,Supuestos!$B$34,0))*Supuestos!$B$17</f>
        <v>100000</v>
      </c>
      <c r="D26" s="28" t="n">
        <f aca="false">(Supuestos!$B$33+IF(D10&gt;Supuestos!$B$35,Supuestos!$B$34,0))*Supuestos!$B$17</f>
        <v>140000</v>
      </c>
      <c r="E26" s="28" t="n">
        <f aca="false">(Supuestos!$B$33+IF(E10&gt;Supuestos!$B$35,Supuestos!$B$34,0))*Supuestos!$B$17</f>
        <v>140000</v>
      </c>
    </row>
    <row r="27" customFormat="false" ht="15" hidden="false" customHeight="true" outlineLevel="0" collapsed="false">
      <c r="A27" s="25" t="s">
        <v>116</v>
      </c>
      <c r="B27" s="28" t="n">
        <f aca="false">IF(B10&gt;Supuestos!$B$38,Supuestos!$B$37,Supuestos!$B$36)*Supuestos!$B$17</f>
        <v>80000</v>
      </c>
      <c r="C27" s="28" t="n">
        <f aca="false">IF(C10&gt;Supuestos!$B$38,Supuestos!$B$37,Supuestos!$B$36)*Supuestos!$B$17</f>
        <v>120000</v>
      </c>
      <c r="D27" s="28" t="n">
        <f aca="false">IF(D10&gt;Supuestos!$B$38,Supuestos!$B$37,Supuestos!$B$36)*Supuestos!$B$17</f>
        <v>120000</v>
      </c>
      <c r="E27" s="28" t="n">
        <f aca="false">IF(E10&gt;Supuestos!$B$38,Supuestos!$B$37,Supuestos!$B$36)*Supuestos!$B$17</f>
        <v>120000</v>
      </c>
    </row>
    <row r="28" customFormat="false" ht="15" hidden="false" customHeight="true" outlineLevel="0" collapsed="false">
      <c r="A28" s="25" t="s">
        <v>117</v>
      </c>
      <c r="B28" s="28" t="n">
        <f aca="false">SUM(B23:B27)*Supuestos!$B$39</f>
        <v>59500.22625</v>
      </c>
      <c r="C28" s="28" t="n">
        <f aca="false">SUM(C23:C27)*Supuestos!$B$39</f>
        <v>98480.4525</v>
      </c>
      <c r="D28" s="28" t="n">
        <f aca="false">SUM(D23:D27)*Supuestos!$B$39</f>
        <v>170440.905</v>
      </c>
      <c r="E28" s="28" t="n">
        <f aca="false">SUM(E23:E27)*Supuestos!$B$39</f>
        <v>236401.3575</v>
      </c>
    </row>
    <row r="29" customFormat="false" ht="15" hidden="false" customHeight="true" outlineLevel="0" collapsed="false">
      <c r="A29" s="25" t="s">
        <v>149</v>
      </c>
      <c r="B29" s="28" t="n">
        <f aca="false">(B19*Supuestos!$B$41+(B9+B13+B12)*Supuestos!$B$42)*(1+Supuestos!$B$43)*Supuestos!$B$44</f>
        <v>123302.59375</v>
      </c>
      <c r="C29" s="28" t="n">
        <f aca="false">(C19*Supuestos!$B$41+(C9+C13+C12)*Supuestos!$B$42)*(1+Supuestos!$B$43)*Supuestos!$B$44</f>
        <v>246605.1875</v>
      </c>
      <c r="D29" s="28" t="n">
        <f aca="false">(D19*Supuestos!$B$41+(D9+D13+D12)*Supuestos!$B$42)*(1+Supuestos!$B$43)*Supuestos!$B$44</f>
        <v>493210.375</v>
      </c>
      <c r="E29" s="28" t="n">
        <f aca="false">(E19*Supuestos!$B$41+(E9+E13+E12)*Supuestos!$B$42)*(1+Supuestos!$B$43)*Supuestos!$B$44</f>
        <v>739815.5625</v>
      </c>
    </row>
    <row r="30" customFormat="false" ht="15" hidden="false" customHeight="true" outlineLevel="0" collapsed="false">
      <c r="A30" s="25" t="s">
        <v>70</v>
      </c>
      <c r="B30" s="28" t="n">
        <f aca="false">B19*Supuestos!$B$45</f>
        <v>12781.25</v>
      </c>
      <c r="C30" s="28" t="n">
        <f aca="false">C19*Supuestos!$B$45</f>
        <v>25562.5</v>
      </c>
      <c r="D30" s="28" t="n">
        <f aca="false">D19*Supuestos!$B$45</f>
        <v>51125</v>
      </c>
      <c r="E30" s="28" t="n">
        <f aca="false">E19*Supuestos!$B$45</f>
        <v>76687.5</v>
      </c>
    </row>
    <row r="31" customFormat="false" ht="15" hidden="false" customHeight="true" outlineLevel="0" collapsed="false">
      <c r="A31" s="25" t="s">
        <v>119</v>
      </c>
      <c r="B31" s="28" t="n">
        <f aca="false">Supuestos!$B$47</f>
        <v>65000</v>
      </c>
      <c r="C31" s="28" t="n">
        <f aca="false">Supuestos!$B$47</f>
        <v>65000</v>
      </c>
      <c r="D31" s="28" t="n">
        <f aca="false">Supuestos!$B$47</f>
        <v>65000</v>
      </c>
      <c r="E31" s="28" t="n">
        <f aca="false">Supuestos!$B$47</f>
        <v>65000</v>
      </c>
    </row>
    <row r="32" customFormat="false" ht="15" hidden="false" customHeight="true" outlineLevel="0" collapsed="false">
      <c r="A32" s="25" t="s">
        <v>120</v>
      </c>
      <c r="B32" s="28" t="n">
        <f aca="false">IF(B10&gt;Supuestos!$B$50,Supuestos!$B$49,Supuestos!$B$48)</f>
        <v>340000</v>
      </c>
      <c r="C32" s="28" t="n">
        <f aca="false">IF(C10&gt;Supuestos!$B$50,Supuestos!$B$49,Supuestos!$B$48)</f>
        <v>340000</v>
      </c>
      <c r="D32" s="28" t="n">
        <f aca="false">IF(D10&gt;Supuestos!$B$50,Supuestos!$B$49,Supuestos!$B$48)</f>
        <v>340000</v>
      </c>
      <c r="E32" s="28" t="n">
        <f aca="false">IF(E10&gt;Supuestos!$B$50,Supuestos!$B$49,Supuestos!$B$48)</f>
        <v>340000</v>
      </c>
    </row>
    <row r="33" customFormat="false" ht="15" hidden="false" customHeight="true" outlineLevel="0" collapsed="false">
      <c r="A33" s="25" t="s">
        <v>121</v>
      </c>
      <c r="B33" s="28" t="n">
        <f aca="false">(B9*Supuestos!$B$51+B6*Supuestos!$B$62)/60*Supuestos!$B$52</f>
        <v>337500</v>
      </c>
      <c r="C33" s="28" t="n">
        <f aca="false">(C9*Supuestos!$B$51+C6*Supuestos!$B$62)/60*Supuestos!$B$52</f>
        <v>675000</v>
      </c>
      <c r="D33" s="28" t="n">
        <f aca="false">(D9*Supuestos!$B$51+D6*Supuestos!$B$62)/60*Supuestos!$B$52</f>
        <v>1350000</v>
      </c>
      <c r="E33" s="28" t="n">
        <f aca="false">(E9*Supuestos!$B$51+E6*Supuestos!$B$62)/60*Supuestos!$B$52</f>
        <v>2025000</v>
      </c>
    </row>
    <row r="34" customFormat="false" ht="15" hidden="false" customHeight="true" outlineLevel="0" collapsed="false">
      <c r="A34" s="25" t="s">
        <v>122</v>
      </c>
      <c r="B34" s="28" t="n">
        <f aca="false">B21*Supuestos!$B$53</f>
        <v>95859.375</v>
      </c>
      <c r="C34" s="28" t="n">
        <f aca="false">C21*Supuestos!$B$53</f>
        <v>191718.75</v>
      </c>
      <c r="D34" s="28" t="n">
        <f aca="false">D21*Supuestos!$B$53</f>
        <v>383437.5</v>
      </c>
      <c r="E34" s="28" t="n">
        <f aca="false">E21*Supuestos!$B$53</f>
        <v>575156.25</v>
      </c>
    </row>
    <row r="35" customFormat="false" ht="15" hidden="false" customHeight="true" outlineLevel="0" collapsed="false">
      <c r="A35" s="25" t="s">
        <v>85</v>
      </c>
      <c r="B35" s="28" t="n">
        <f aca="false">B21*Supuestos!$B$54</f>
        <v>223671.875</v>
      </c>
      <c r="C35" s="28" t="n">
        <f aca="false">C21*Supuestos!$B$54</f>
        <v>447343.75</v>
      </c>
      <c r="D35" s="28" t="n">
        <f aca="false">D21*Supuestos!$B$54</f>
        <v>894687.5</v>
      </c>
      <c r="E35" s="28" t="n">
        <f aca="false">E21*Supuestos!$B$54</f>
        <v>1342031.25</v>
      </c>
    </row>
    <row r="36" customFormat="false" ht="15" hidden="false" customHeight="true" outlineLevel="0" collapsed="false">
      <c r="A36" s="29" t="s">
        <v>123</v>
      </c>
      <c r="B36" s="30" t="n">
        <f aca="false">SUM(B23:B35)</f>
        <v>1654283.495</v>
      </c>
      <c r="C36" s="30" t="n">
        <f aca="false">SUM(C23:C35)</f>
        <v>2746246.99</v>
      </c>
      <c r="D36" s="30" t="n">
        <f aca="false">SUM(D23:D35)</f>
        <v>4884173.98</v>
      </c>
      <c r="E36" s="30" t="n">
        <f aca="false">SUM(E23:E35)</f>
        <v>6976100.97</v>
      </c>
    </row>
    <row r="37" customFormat="false" ht="15" hidden="false" customHeight="true" outlineLevel="0" collapsed="false">
      <c r="A37" s="5" t="s">
        <v>124</v>
      </c>
      <c r="B37" s="5"/>
      <c r="C37" s="5"/>
      <c r="D37" s="5"/>
      <c r="E37" s="5"/>
    </row>
    <row r="38" customFormat="false" ht="15" hidden="false" customHeight="true" outlineLevel="0" collapsed="false">
      <c r="A38" s="31" t="s">
        <v>150</v>
      </c>
      <c r="B38" s="32" t="n">
        <f aca="false">B21-B36</f>
        <v>1541029.005</v>
      </c>
      <c r="C38" s="32" t="n">
        <f aca="false">C21-C36</f>
        <v>3644378.01</v>
      </c>
      <c r="D38" s="32" t="n">
        <f aca="false">D21-D36</f>
        <v>7897076.02</v>
      </c>
      <c r="E38" s="32" t="n">
        <f aca="false">E21-E36</f>
        <v>12195774.03</v>
      </c>
    </row>
    <row r="39" customFormat="false" ht="15" hidden="false" customHeight="true" outlineLevel="0" collapsed="false">
      <c r="A39" s="25" t="s">
        <v>151</v>
      </c>
      <c r="B39" s="37" t="n">
        <f aca="false">Balance!B33</f>
        <v>1396205.6</v>
      </c>
      <c r="C39" s="37" t="n">
        <f aca="false">Balance!C33</f>
        <v>3020731.2</v>
      </c>
      <c r="D39" s="37" t="n">
        <f aca="false">Balance!D33</f>
        <v>6603782.4</v>
      </c>
      <c r="E39" s="37" t="n">
        <f aca="false">Balance!E33</f>
        <v>10186833.6</v>
      </c>
    </row>
    <row r="40" customFormat="false" ht="15" hidden="false" customHeight="true" outlineLevel="0" collapsed="false">
      <c r="A40" s="31" t="s">
        <v>152</v>
      </c>
      <c r="B40" s="32" t="n">
        <f aca="false">B38-B39</f>
        <v>144823.405</v>
      </c>
      <c r="C40" s="32" t="n">
        <f aca="false">C38-C39</f>
        <v>623646.81</v>
      </c>
      <c r="D40" s="32" t="n">
        <f aca="false">D38-D39</f>
        <v>1293293.62</v>
      </c>
      <c r="E40" s="32" t="n">
        <f aca="false">E38-E39</f>
        <v>2008940.43</v>
      </c>
    </row>
    <row r="41" customFormat="false" ht="15" hidden="false" customHeight="true" outlineLevel="0" collapsed="false">
      <c r="A41" s="25" t="s">
        <v>153</v>
      </c>
      <c r="B41" s="38" t="n">
        <f aca="false">IF(B21=0,0,B38/B21)</f>
        <v>0.48227802601467</v>
      </c>
      <c r="C41" s="38" t="n">
        <f aca="false">IF(C21=0,0,C38/C21)</f>
        <v>0.570269419657702</v>
      </c>
      <c r="D41" s="38" t="n">
        <f aca="false">IF(D21=0,0,D38/D21)</f>
        <v>0.617864138484108</v>
      </c>
      <c r="E41" s="38" t="n">
        <f aca="false">IF(E21=0,0,E38/E21)</f>
        <v>0.636128392762836</v>
      </c>
    </row>
    <row r="42" customFormat="false" ht="15" hidden="false" customHeight="true" outlineLevel="0" collapsed="false">
      <c r="A42" s="25" t="s">
        <v>130</v>
      </c>
      <c r="B42" s="27" t="n">
        <f aca="false">(B9*Supuestos!$B$51+B6*Supuestos!$B$62)/60</f>
        <v>11.25</v>
      </c>
      <c r="C42" s="27" t="n">
        <f aca="false">(C9*Supuestos!$B$51+C6*Supuestos!$B$62)/60</f>
        <v>22.5</v>
      </c>
      <c r="D42" s="27" t="n">
        <f aca="false">(D9*Supuestos!$B$51+D6*Supuestos!$B$62)/60</f>
        <v>45</v>
      </c>
      <c r="E42" s="27" t="n">
        <f aca="false">(E9*Supuestos!$B$51+E6*Supuestos!$B$62)/60</f>
        <v>67.5</v>
      </c>
    </row>
    <row r="43" customFormat="false" ht="15" hidden="false" customHeight="true" outlineLevel="0" collapsed="false">
      <c r="A43" s="25" t="s">
        <v>133</v>
      </c>
      <c r="B43" s="28" t="n">
        <f aca="false">B19*12</f>
        <v>38343750</v>
      </c>
      <c r="C43" s="28" t="n">
        <f aca="false">C19*12</f>
        <v>76687500</v>
      </c>
      <c r="D43" s="28" t="n">
        <f aca="false">D19*12</f>
        <v>153375000</v>
      </c>
      <c r="E43" s="28" t="n">
        <f aca="false">E19*12</f>
        <v>230062500</v>
      </c>
    </row>
    <row r="44" customFormat="false" ht="15" hidden="false" customHeight="true" outlineLevel="0" collapsed="false">
      <c r="A44" s="25" t="s">
        <v>154</v>
      </c>
      <c r="B44" s="8" t="str">
        <f aca="false">IF(B43&gt;3500*Supuestos!$B$13,"SÍ — revisar IVA","No")</f>
        <v>No</v>
      </c>
      <c r="C44" s="8" t="str">
        <f aca="false">IF(C43&gt;3500*Supuestos!$B$13,"SÍ — revisar IVA","No")</f>
        <v>No</v>
      </c>
      <c r="D44" s="8" t="str">
        <f aca="false">IF(D43&gt;3500*Supuestos!$B$13,"SÍ — revisar IVA","No")</f>
        <v>No</v>
      </c>
      <c r="E44" s="8" t="str">
        <f aca="false">IF(E43&gt;3500*Supuestos!$B$13,"SÍ — revisar IVA","No")</f>
        <v>SÍ — revisar IVA</v>
      </c>
    </row>
    <row r="45" customFormat="false" ht="15" hidden="false" customHeight="true" outlineLevel="0" collapsed="false">
      <c r="A45" s="5" t="s">
        <v>155</v>
      </c>
      <c r="B45" s="5"/>
      <c r="C45" s="5"/>
      <c r="D45" s="5"/>
      <c r="E45" s="5"/>
    </row>
    <row r="46" customFormat="false" ht="15" hidden="false" customHeight="true" outlineLevel="0" collapsed="false">
      <c r="A46" s="25" t="s">
        <v>156</v>
      </c>
      <c r="B46" s="28" t="n">
        <f aca="false">Supuestos!$B$7/IF(Supuestos!$B$11=1,1+Supuestos!$B$12,1)*(1-Supuestos!$B$53-Supuestos!$B$54)-Supuestos!$B$7*Supuestos!$B$45-(Supuestos!$B$7*Supuestos!$B$41+Supuestos!$B$42)*(1+Supuestos!$B$43)*Supuestos!$B$44-((Supuestos!$B$28/Supuestos!$B$15)*(1+Supuestos!$B$31)+Supuestos!$B$29*(1+Supuestos!$B$31)+(Supuestos!$B$25*Supuestos!$B$26+Supuestos!$B$22*Supuestos!$B$21)/Supuestos!$B$15)*Supuestos!$B$17*(1+Supuestos!$B$39)-Supuestos!$B$51/60*Supuestos!$B$52</f>
        <v>33931.1111888112</v>
      </c>
      <c r="C46" s="28" t="n">
        <f aca="false">Supuestos!$B$7/IF(Supuestos!$B$11=1,1+Supuestos!$B$12,1)*(1-Supuestos!$B$53-Supuestos!$B$54)-Supuestos!$B$7*Supuestos!$B$45-(Supuestos!$B$7*Supuestos!$B$41+Supuestos!$B$42)*(1+Supuestos!$B$43)*Supuestos!$B$44-((Supuestos!$B$28/Supuestos!$B$15)*(1+Supuestos!$B$31)+Supuestos!$B$29*(1+Supuestos!$B$31)+(Supuestos!$B$25*Supuestos!$B$26+Supuestos!$B$22*Supuestos!$B$21)/Supuestos!$B$15)*Supuestos!$B$17*(1+Supuestos!$B$39)-Supuestos!$B$51/60*Supuestos!$B$52</f>
        <v>33931.1111888112</v>
      </c>
      <c r="D46" s="28" t="n">
        <f aca="false">Supuestos!$B$7/IF(Supuestos!$B$11=1,1+Supuestos!$B$12,1)*(1-Supuestos!$B$53-Supuestos!$B$54)-Supuestos!$B$7*Supuestos!$B$45-(Supuestos!$B$7*Supuestos!$B$41+Supuestos!$B$42)*(1+Supuestos!$B$43)*Supuestos!$B$44-((Supuestos!$B$28/Supuestos!$B$15)*(1+Supuestos!$B$31)+Supuestos!$B$29*(1+Supuestos!$B$31)+(Supuestos!$B$25*Supuestos!$B$26+Supuestos!$B$22*Supuestos!$B$21)/Supuestos!$B$15)*Supuestos!$B$17*(1+Supuestos!$B$39)-Supuestos!$B$51/60*Supuestos!$B$52</f>
        <v>33931.1111888112</v>
      </c>
      <c r="E46" s="28" t="n">
        <f aca="false">Supuestos!$B$7/IF(Supuestos!$B$11=1,1+Supuestos!$B$12,1)*(1-Supuestos!$B$53-Supuestos!$B$54)-Supuestos!$B$7*Supuestos!$B$45-(Supuestos!$B$7*Supuestos!$B$41+Supuestos!$B$42)*(1+Supuestos!$B$43)*Supuestos!$B$44-((Supuestos!$B$28/Supuestos!$B$15)*(1+Supuestos!$B$31)+Supuestos!$B$29*(1+Supuestos!$B$31)+(Supuestos!$B$25*Supuestos!$B$26+Supuestos!$B$22*Supuestos!$B$21)/Supuestos!$B$15)*Supuestos!$B$17*(1+Supuestos!$B$39)-Supuestos!$B$51/60*Supuestos!$B$52</f>
        <v>33931.1111888112</v>
      </c>
    </row>
    <row r="47" customFormat="false" ht="15" hidden="false" customHeight="true" outlineLevel="0" collapsed="false">
      <c r="A47" s="25" t="s">
        <v>157</v>
      </c>
      <c r="B47" s="28" t="n">
        <f aca="false">Supuestos!$B$57/IF(Supuestos!$B$11=1,1+Supuestos!$B$12,1)*(1-Supuestos!$B$53-Supuestos!$B$54)-Supuestos!$B$57*Supuestos!$B$45-(Supuestos!$B$57*Supuestos!$B$41+Supuestos!$B$42/MAX(1,Supuestos!$B$59))*(1+Supuestos!$B$43)*Supuestos!$B$44-((Supuestos!$B$28/Supuestos!$B$15)*(1+Supuestos!$B$31)+Supuestos!$B$29*(1+Supuestos!$B$31)+(Supuestos!$B$25*Supuestos!$B$26+Supuestos!$B$22*Supuestos!$B$21)/Supuestos!$B$15)*Supuestos!$B$17*(1+Supuestos!$B$39)-Supuestos!$B$62/60*Supuestos!$B$52</f>
        <v>20098.7711888112</v>
      </c>
      <c r="C47" s="28" t="n">
        <f aca="false">Supuestos!$B$57/IF(Supuestos!$B$11=1,1+Supuestos!$B$12,1)*(1-Supuestos!$B$53-Supuestos!$B$54)-Supuestos!$B$57*Supuestos!$B$45-(Supuestos!$B$57*Supuestos!$B$41+Supuestos!$B$42/MAX(1,Supuestos!$B$59))*(1+Supuestos!$B$43)*Supuestos!$B$44-((Supuestos!$B$28/Supuestos!$B$15)*(1+Supuestos!$B$31)+Supuestos!$B$29*(1+Supuestos!$B$31)+(Supuestos!$B$25*Supuestos!$B$26+Supuestos!$B$22*Supuestos!$B$21)/Supuestos!$B$15)*Supuestos!$B$17*(1+Supuestos!$B$39)-Supuestos!$B$62/60*Supuestos!$B$52</f>
        <v>20098.7711888112</v>
      </c>
      <c r="D47" s="28" t="n">
        <f aca="false">Supuestos!$B$57/IF(Supuestos!$B$11=1,1+Supuestos!$B$12,1)*(1-Supuestos!$B$53-Supuestos!$B$54)-Supuestos!$B$57*Supuestos!$B$45-(Supuestos!$B$57*Supuestos!$B$41+Supuestos!$B$42/MAX(1,Supuestos!$B$59))*(1+Supuestos!$B$43)*Supuestos!$B$44-((Supuestos!$B$28/Supuestos!$B$15)*(1+Supuestos!$B$31)+Supuestos!$B$29*(1+Supuestos!$B$31)+(Supuestos!$B$25*Supuestos!$B$26+Supuestos!$B$22*Supuestos!$B$21)/Supuestos!$B$15)*Supuestos!$B$17*(1+Supuestos!$B$39)-Supuestos!$B$62/60*Supuestos!$B$52</f>
        <v>20098.7711888112</v>
      </c>
      <c r="E47" s="28" t="n">
        <f aca="false">Supuestos!$B$57/IF(Supuestos!$B$11=1,1+Supuestos!$B$12,1)*(1-Supuestos!$B$53-Supuestos!$B$54)-Supuestos!$B$57*Supuestos!$B$45-(Supuestos!$B$57*Supuestos!$B$41+Supuestos!$B$42/MAX(1,Supuestos!$B$59))*(1+Supuestos!$B$43)*Supuestos!$B$44-((Supuestos!$B$28/Supuestos!$B$15)*(1+Supuestos!$B$31)+Supuestos!$B$29*(1+Supuestos!$B$31)+(Supuestos!$B$25*Supuestos!$B$26+Supuestos!$B$22*Supuestos!$B$21)/Supuestos!$B$15)*Supuestos!$B$17*(1+Supuestos!$B$39)-Supuestos!$B$62/60*Supuestos!$B$52</f>
        <v>20098.7711888112</v>
      </c>
    </row>
    <row r="48" customFormat="false" ht="15" hidden="false" customHeight="true" outlineLevel="0" collapsed="false">
      <c r="A48" s="25" t="s">
        <v>158</v>
      </c>
      <c r="B48" s="28" t="n">
        <f aca="false">B46-B47</f>
        <v>13832.34</v>
      </c>
      <c r="C48" s="28" t="n">
        <f aca="false">C46-C47</f>
        <v>13832.34</v>
      </c>
      <c r="D48" s="28" t="n">
        <f aca="false">D46-D47</f>
        <v>13832.34</v>
      </c>
      <c r="E48" s="28" t="n">
        <f aca="false">E46-E47</f>
        <v>13832.34</v>
      </c>
    </row>
    <row r="49" customFormat="false" ht="15" hidden="false" customHeight="true" outlineLevel="0" collapsed="false">
      <c r="A49" s="25" t="s">
        <v>159</v>
      </c>
      <c r="B49" s="27" t="n">
        <f aca="false">IF(B47&lt;=0,0,B48/B47)</f>
        <v>0.688218193543113</v>
      </c>
      <c r="C49" s="27" t="n">
        <f aca="false">IF(C47&lt;=0,0,C48/C47)</f>
        <v>0.688218193543113</v>
      </c>
      <c r="D49" s="27" t="n">
        <f aca="false">IF(D47&lt;=0,0,D48/D47)</f>
        <v>0.688218193543113</v>
      </c>
      <c r="E49" s="27" t="n">
        <f aca="false">IF(E47&lt;=0,0,E48/E47)</f>
        <v>0.688218193543113</v>
      </c>
    </row>
    <row r="50" customFormat="false" ht="15" hidden="false" customHeight="true" outlineLevel="0" collapsed="false">
      <c r="A50" s="25" t="s">
        <v>160</v>
      </c>
      <c r="B50" s="38" t="n">
        <f aca="false">IF(B46&lt;=0,0,B47/B46)</f>
        <v>0.592340494744504</v>
      </c>
      <c r="C50" s="38" t="n">
        <f aca="false">IF(C46&lt;=0,0,C47/C46)</f>
        <v>0.592340494744504</v>
      </c>
      <c r="D50" s="38" t="n">
        <f aca="false">IF(D46&lt;=0,0,D47/D46)</f>
        <v>0.592340494744504</v>
      </c>
      <c r="E50" s="38" t="n">
        <f aca="false">IF(E46&lt;=0,0,E47/E46)</f>
        <v>0.592340494744504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25" hidden="false" customHeight="true" outlineLevel="0" collapsed="false">
      <c r="A1" s="2" t="s">
        <v>161</v>
      </c>
    </row>
    <row r="3" customFormat="false" ht="45" hidden="false" customHeight="true" outlineLevel="0" collapsed="false">
      <c r="A3" s="39" t="s">
        <v>162</v>
      </c>
    </row>
    <row r="4" customFormat="false" ht="45" hidden="false" customHeight="true" outlineLevel="0" collapsed="false">
      <c r="A4" s="39" t="s">
        <v>163</v>
      </c>
    </row>
    <row r="5" customFormat="false" ht="45" hidden="false" customHeight="true" outlineLevel="0" collapsed="false">
      <c r="A5" s="39" t="s">
        <v>164</v>
      </c>
    </row>
    <row r="6" customFormat="false" ht="45" hidden="false" customHeight="true" outlineLevel="0" collapsed="false">
      <c r="A6" s="39" t="s">
        <v>165</v>
      </c>
    </row>
    <row r="7" customFormat="false" ht="45" hidden="false" customHeight="true" outlineLevel="0" collapsed="false">
      <c r="A7" s="39" t="s">
        <v>166</v>
      </c>
    </row>
    <row r="8" customFormat="false" ht="45" hidden="false" customHeight="true" outlineLevel="0" collapsed="false">
      <c r="A8" s="39" t="s">
        <v>167</v>
      </c>
    </row>
    <row r="9" customFormat="false" ht="45" hidden="false" customHeight="true" outlineLevel="0" collapsed="false">
      <c r="A9" s="39" t="s">
        <v>168</v>
      </c>
    </row>
    <row r="10" customFormat="false" ht="26.85" hidden="false" customHeight="false" outlineLevel="0" collapsed="false">
      <c r="A10" s="39" t="str">
        <f aca="false">"8. Gestores (hoja Gestores, con 100 cuentas directas): cada cuenta de gestor a "&amp;TEXT(Supuestos!B57,"$#,##0")&amp;" deja "&amp;TEXT(Gestores!C47,"$#,##0")&amp;" y una directa "&amp;TEXT(Gestores!C46,"$#,##0")&amp;". Con los supuestos, los gestores suman "&amp;TEXT(Gestores!C40,"$#,##0")&amp;" al mes."</f>
        <v>8. Gestores (hoja Gestores, con 100 cuentas directas): cada cuenta de gestor a $30,000 deja $20,099 y una directa $33,931. Con los supuestos, los gestores suman $623,647 al mes.</v>
      </c>
    </row>
    <row r="11" customFormat="false" ht="39.55" hidden="false" customHeight="false" outlineLevel="0" collapsed="false">
      <c r="A11" s="39" t="str">
        <f aca="false">"9. El riesgo es la canibalización: cada cliente que pasa de $50.000 a precio de gestor resta "&amp;TEXT(Gestores!C48,"$#,##0")&amp;"; se compensa con "&amp;TEXT(Gestores!C49,"0.0")&amp;" cuentas nuevas de gestor. Mientras menos del "&amp;TEXT(Gestores!C50,"0%")&amp;" de las cuentas de gestores sean clientes que ya pagaban precio de lista, el escenario gana. Exige un mínimo de personas activas por gestor (Supuestos B58)."</f>
        <v>9. El riesgo es la canibalización: cada cliente que pasa de $50.000 a precio de gestor resta $13,832; se compensa con 0.7 cuentas nuevas de gestor. Mientras menos del 59% de las cuentas de gestores sean clientes que ya pagaban precio de lista, el escenario gana. Exige un mínimo de personas activas por gestor (Supuestos B58).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2026-10-10T15:25:32Z</dcterms:created>
  <dc:creator>openpyxl</dc:creator>
  <dc:description/>
  <dc:language>en-US</dc:language>
  <cp:lastModifiedBy/>
  <dcterms:modified xsi:type="dcterms:W3CDTF">2026-10-15T19:48:17Z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